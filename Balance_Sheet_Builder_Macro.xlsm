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antigravity\scrap projects\excel-vba-automation\"/>
    </mc:Choice>
  </mc:AlternateContent>
  <xr:revisionPtr revIDLastSave="0" documentId="8_{FB10D5D2-B4DA-442F-8249-C85843B8762F}" xr6:coauthVersionLast="47" xr6:coauthVersionMax="47" xr10:uidLastSave="{00000000-0000-0000-0000-000000000000}"/>
  <bookViews>
    <workbookView xWindow="-108" yWindow="-108" windowWidth="23256" windowHeight="12456" xr2:uid="{00000000-000D-0000-FFFF-FFFF00000000}"/>
  </bookViews>
  <sheets>
    <sheet name="Home" sheetId="1" r:id="rId1"/>
    <sheet name="BD" sheetId="2" r:id="rId2"/>
    <sheet name="TB" sheetId="3" r:id="rId3"/>
    <sheet name="AE" sheetId="4" r:id="rId4"/>
    <sheet name="BS" sheetId="5" r:id="rId5"/>
    <sheet name="PL" sheetId="6" r:id="rId6"/>
    <sheet name="CF" sheetId="7" r:id="rId7"/>
    <sheet name="Ageing" sheetId="8" r:id="rId8"/>
    <sheet name="N1" sheetId="9" r:id="rId9"/>
    <sheet name="N2" sheetId="10" r:id="rId10"/>
    <sheet name="N3" sheetId="11" r:id="rId11"/>
    <sheet name="N4" sheetId="12" r:id="rId12"/>
    <sheet name="N5" sheetId="13" r:id="rId13"/>
    <sheet name="N6" sheetId="14" r:id="rId14"/>
    <sheet name="TX" sheetId="15" r:id="rId15"/>
    <sheet name="Validation" sheetId="16" r:id="rId16"/>
    <sheet name="Chart of Accounts" sheetId="17" r:id="rId17"/>
    <sheet name="Drilldown_View" sheetId="18" state="hidden"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6" l="1"/>
  <c r="A1" i="15"/>
  <c r="A1" i="14"/>
  <c r="A1" i="13"/>
  <c r="A1" i="12"/>
  <c r="A1" i="11"/>
  <c r="A1" i="10"/>
  <c r="A1" i="9"/>
  <c r="E20" i="8"/>
  <c r="D20" i="8"/>
  <c r="C20" i="8"/>
  <c r="B20" i="8"/>
  <c r="G19" i="8"/>
  <c r="G18" i="8"/>
  <c r="G17" i="8"/>
  <c r="G20" i="8" s="1"/>
  <c r="G16" i="8"/>
  <c r="F10" i="8"/>
  <c r="E10" i="8"/>
  <c r="D10" i="8"/>
  <c r="C10" i="8"/>
  <c r="B10" i="8"/>
  <c r="G9" i="8"/>
  <c r="G8" i="8"/>
  <c r="G7" i="8"/>
  <c r="G6" i="8"/>
  <c r="G10" i="8" s="1"/>
  <c r="A1" i="8"/>
  <c r="A1" i="7"/>
  <c r="A1" i="6"/>
  <c r="B9" i="5"/>
  <c r="B8" i="5"/>
  <c r="B7" i="5"/>
  <c r="B6" i="5"/>
  <c r="A1" i="5"/>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A1" i="4"/>
  <c r="I18" i="3"/>
  <c r="G18" i="3"/>
  <c r="F18" i="3"/>
  <c r="D18" i="3"/>
  <c r="C18" i="3"/>
  <c r="O17" i="3"/>
  <c r="J17" i="3"/>
  <c r="K17" i="3" s="1"/>
  <c r="H17" i="3"/>
  <c r="E17" i="3"/>
  <c r="O16" i="3"/>
  <c r="J16" i="3"/>
  <c r="K16" i="3" s="1"/>
  <c r="H16" i="3"/>
  <c r="E16" i="3"/>
  <c r="O15" i="3"/>
  <c r="J15" i="3"/>
  <c r="K15" i="3" s="1"/>
  <c r="H15" i="3"/>
  <c r="E15" i="3"/>
  <c r="O14" i="3"/>
  <c r="K14" i="3"/>
  <c r="J14" i="3"/>
  <c r="H14" i="3"/>
  <c r="E14" i="3"/>
  <c r="O13" i="3"/>
  <c r="J13" i="3"/>
  <c r="K13" i="3" s="1"/>
  <c r="H13" i="3"/>
  <c r="E13" i="3"/>
  <c r="O12" i="3"/>
  <c r="K12" i="3"/>
  <c r="J12" i="3"/>
  <c r="H12" i="3"/>
  <c r="E12" i="3"/>
  <c r="O11" i="3"/>
  <c r="J11" i="3"/>
  <c r="K11" i="3" s="1"/>
  <c r="H11" i="3"/>
  <c r="E11" i="3"/>
  <c r="O10" i="3"/>
  <c r="J10" i="3"/>
  <c r="K10" i="3" s="1"/>
  <c r="H10" i="3"/>
  <c r="E10" i="3"/>
  <c r="O9" i="3"/>
  <c r="K9" i="3"/>
  <c r="J9" i="3"/>
  <c r="H9" i="3"/>
  <c r="E9" i="3"/>
  <c r="O8" i="3"/>
  <c r="K8" i="3"/>
  <c r="J8" i="3"/>
  <c r="H8" i="3"/>
  <c r="E8" i="3"/>
  <c r="O7" i="3"/>
  <c r="J7" i="3"/>
  <c r="K7" i="3" s="1"/>
  <c r="H7" i="3"/>
  <c r="E7" i="3"/>
  <c r="O6" i="3"/>
  <c r="K6" i="3"/>
  <c r="J6" i="3"/>
  <c r="H6" i="3"/>
  <c r="H18" i="3" s="1"/>
  <c r="E6" i="3"/>
  <c r="E18" i="3" s="1"/>
  <c r="A1" i="3"/>
  <c r="B8" i="2"/>
  <c r="C16" i="10" s="1"/>
  <c r="C17" i="10" s="1"/>
  <c r="A1" i="2"/>
  <c r="B17" i="1"/>
  <c r="D15" i="1"/>
  <c r="B15" i="1"/>
  <c r="G14" i="1"/>
  <c r="D13" i="1"/>
  <c r="B13" i="1"/>
  <c r="D11" i="1"/>
  <c r="B11" i="1"/>
  <c r="F10" i="1"/>
  <c r="D9" i="1"/>
  <c r="B9" i="1"/>
  <c r="D7" i="1"/>
  <c r="B7" i="1"/>
  <c r="D5" i="1"/>
  <c r="B5" i="1"/>
  <c r="K18" i="3" l="1"/>
  <c r="C16" i="5"/>
  <c r="C22" i="5"/>
  <c r="B15" i="15" s="1"/>
  <c r="C28" i="5"/>
  <c r="D15" i="6"/>
  <c r="C27" i="15" s="1"/>
  <c r="C11" i="13"/>
  <c r="C12" i="13" s="1"/>
  <c r="D20" i="5"/>
  <c r="D19" i="5" s="1"/>
  <c r="D18" i="5" s="1"/>
  <c r="C14" i="6"/>
  <c r="B26" i="15" s="1"/>
  <c r="D16" i="5"/>
  <c r="C12" i="15" s="1"/>
  <c r="D22" i="5"/>
  <c r="D28" i="5"/>
  <c r="C18" i="15" s="1"/>
  <c r="C10" i="6"/>
  <c r="C9" i="6" s="1"/>
  <c r="C9" i="15"/>
  <c r="C15" i="15"/>
  <c r="C11" i="5"/>
  <c r="C29" i="5"/>
  <c r="B19" i="15" s="1"/>
  <c r="D10" i="6"/>
  <c r="C22" i="15" s="1"/>
  <c r="C6" i="11"/>
  <c r="C7" i="11" s="1"/>
  <c r="D11" i="5"/>
  <c r="D10" i="5" s="1"/>
  <c r="D29" i="5"/>
  <c r="C19" i="15" s="1"/>
  <c r="C11" i="6"/>
  <c r="B6" i="16"/>
  <c r="D6" i="16" s="1"/>
  <c r="J18" i="3"/>
  <c r="D26" i="5"/>
  <c r="C16" i="15" s="1"/>
  <c r="C24" i="5"/>
  <c r="C23" i="5" s="1"/>
  <c r="D11" i="6"/>
  <c r="C23" i="15" s="1"/>
  <c r="B23" i="15"/>
  <c r="C6" i="16"/>
  <c r="C8" i="6"/>
  <c r="B21" i="15" s="1"/>
  <c r="D24" i="5"/>
  <c r="C12" i="6"/>
  <c r="B9" i="7"/>
  <c r="C6" i="12"/>
  <c r="C7" i="12" s="1"/>
  <c r="C13" i="5"/>
  <c r="C25" i="5"/>
  <c r="B11" i="7" s="1"/>
  <c r="D12" i="6"/>
  <c r="C24" i="15" s="1"/>
  <c r="B6" i="15"/>
  <c r="B12" i="15"/>
  <c r="B18" i="15"/>
  <c r="B24" i="15"/>
  <c r="C8" i="5"/>
  <c r="D13" i="5"/>
  <c r="D25" i="5"/>
  <c r="C7" i="6"/>
  <c r="C13" i="6"/>
  <c r="B25" i="15" s="1"/>
  <c r="C6" i="10"/>
  <c r="C7" i="10" s="1"/>
  <c r="C11" i="12"/>
  <c r="C12" i="12" s="1"/>
  <c r="D8" i="5"/>
  <c r="C14" i="5"/>
  <c r="G21" i="8" s="1"/>
  <c r="G22" i="8" s="1"/>
  <c r="C20" i="5"/>
  <c r="C26" i="5"/>
  <c r="G11" i="8" s="1"/>
  <c r="G12" i="8" s="1"/>
  <c r="D7" i="6"/>
  <c r="C20" i="15" s="1"/>
  <c r="D13" i="6"/>
  <c r="C25" i="15" s="1"/>
  <c r="C11" i="10"/>
  <c r="C12" i="10" s="1"/>
  <c r="D14" i="5"/>
  <c r="C10" i="15" s="1"/>
  <c r="C15" i="5"/>
  <c r="B11" i="15" s="1"/>
  <c r="C21" i="5"/>
  <c r="B14" i="15" s="1"/>
  <c r="C27" i="5"/>
  <c r="C8" i="16" s="1"/>
  <c r="D8" i="6"/>
  <c r="C21" i="15" s="1"/>
  <c r="D14" i="6"/>
  <c r="C26" i="15" s="1"/>
  <c r="C6" i="13"/>
  <c r="C7" i="13" s="1"/>
  <c r="D15" i="5"/>
  <c r="C11" i="15" s="1"/>
  <c r="D21" i="5"/>
  <c r="C14" i="15" s="1"/>
  <c r="D27" i="5"/>
  <c r="C17" i="15" s="1"/>
  <c r="C15" i="6"/>
  <c r="B27" i="15" s="1"/>
  <c r="B17" i="7"/>
  <c r="B10" i="15" l="1"/>
  <c r="C6" i="15"/>
  <c r="B10" i="7"/>
  <c r="D6" i="6"/>
  <c r="B22" i="15"/>
  <c r="D23" i="5"/>
  <c r="B16" i="15"/>
  <c r="D17" i="5"/>
  <c r="C8" i="15"/>
  <c r="B17" i="15"/>
  <c r="B20" i="15"/>
  <c r="C6" i="6"/>
  <c r="C12" i="5"/>
  <c r="C6" i="14" s="1"/>
  <c r="B8" i="15"/>
  <c r="C10" i="5"/>
  <c r="B18" i="7"/>
  <c r="B19" i="7" s="1"/>
  <c r="B14" i="7"/>
  <c r="B15" i="7" s="1"/>
  <c r="B13" i="15"/>
  <c r="C19" i="5"/>
  <c r="C18" i="5" s="1"/>
  <c r="C17" i="5" s="1"/>
  <c r="B7" i="16" s="1"/>
  <c r="D9" i="6"/>
  <c r="C13" i="15"/>
  <c r="B21" i="7"/>
  <c r="D12" i="5"/>
  <c r="B7" i="7"/>
  <c r="B9" i="15"/>
  <c r="D9" i="5" l="1"/>
  <c r="H10" i="1"/>
  <c r="G10" i="1"/>
  <c r="B6" i="7"/>
  <c r="B8" i="7" s="1"/>
  <c r="B12" i="7" s="1"/>
  <c r="B20" i="7" s="1"/>
  <c r="B22" i="7" s="1"/>
  <c r="B8" i="16" s="1"/>
  <c r="D8" i="16" s="1"/>
  <c r="G6" i="1" s="1"/>
  <c r="C9" i="5"/>
  <c r="C7" i="15" l="1"/>
  <c r="D7" i="5"/>
  <c r="D6" i="5" s="1"/>
  <c r="B7" i="15"/>
  <c r="C7" i="5"/>
  <c r="C6" i="5" l="1"/>
  <c r="C7" i="16" s="1"/>
  <c r="D7" i="16" s="1"/>
  <c r="F6" i="1" s="1"/>
  <c r="C7" i="14"/>
</calcChain>
</file>

<file path=xl/sharedStrings.xml><?xml version="1.0" encoding="utf-8"?>
<sst xmlns="http://schemas.openxmlformats.org/spreadsheetml/2006/main" count="500" uniqueCount="266">
  <si>
    <t>Balance Sheet Builder (AS) - Lite version</t>
  </si>
  <si>
    <t>Balance Sheet</t>
  </si>
  <si>
    <t>Cash Flow</t>
  </si>
  <si>
    <t>Notes Count</t>
  </si>
  <si>
    <t>11 Active</t>
  </si>
  <si>
    <t>Financial Year</t>
  </si>
  <si>
    <t>Revenue</t>
  </si>
  <si>
    <t>Profit (Loss)</t>
  </si>
  <si>
    <t>VBA Control Panel</t>
  </si>
  <si>
    <t>Rounding Scale</t>
  </si>
  <si>
    <t>Tally Integration &amp; Import Help Guide</t>
  </si>
  <si>
    <t>Step 1: Export TB from Tally</t>
  </si>
  <si>
    <t>In Tally Prime or Tally ERP 9, navigate to 'Display More Reports' -&gt; 'Trial Balance'.</t>
  </si>
  <si>
    <t>Step 2: Excel Format</t>
  </si>
  <si>
    <t>Press Alt+E (Export) -&gt; select format 'Excel (Spreadsheet)'. Ensure Ledger Name, Debit, and Credit columns are visible.</t>
  </si>
  <si>
    <t>Step 3: Run Macro Import</t>
  </si>
  <si>
    <t>In this workbook's Home dashboard, click 'Import Trial Balance' and select the exported Tally file.</t>
  </si>
  <si>
    <t>Step 4: Map New Accounts</t>
  </si>
  <si>
    <t>Go to the 'TB' sheet. Select Type, Primary Group, and Secondary Group dropdowns. The Node Code resolves automatically.</t>
  </si>
  <si>
    <t>Step 5: View Statements</t>
  </si>
  <si>
    <t>Once mapped, all statements (Balance Sheet, P&amp;L, Cash Flow, and Notes) will automatically populate and reconcile.</t>
  </si>
  <si>
    <t>Parameter</t>
  </si>
  <si>
    <t>Setting Value</t>
  </si>
  <si>
    <t>Company Name</t>
  </si>
  <si>
    <t>Mock Enterprise Ltd.</t>
  </si>
  <si>
    <t>FY 2025-26</t>
  </si>
  <si>
    <t>Reporting Currency</t>
  </si>
  <si>
    <t>INR</t>
  </si>
  <si>
    <t>Rounding Type</t>
  </si>
  <si>
    <t>Unrounded</t>
  </si>
  <si>
    <t>Scale Factor</t>
  </si>
  <si>
    <t>Entity Type</t>
  </si>
  <si>
    <t>Corporate (Schedule III)</t>
  </si>
  <si>
    <t>Ledger Groupings</t>
  </si>
  <si>
    <t>31 March 2023</t>
  </si>
  <si>
    <t>31 March 2024</t>
  </si>
  <si>
    <t>31 March 2025</t>
  </si>
  <si>
    <t>Groupings</t>
  </si>
  <si>
    <t>GL Code</t>
  </si>
  <si>
    <t>GL Name</t>
  </si>
  <si>
    <t>Books</t>
  </si>
  <si>
    <t>Adjustments</t>
  </si>
  <si>
    <t>Final</t>
  </si>
  <si>
    <t>Type</t>
  </si>
  <si>
    <t>Primary Group</t>
  </si>
  <si>
    <t>Secondary Group</t>
  </si>
  <si>
    <t>Link</t>
  </si>
  <si>
    <t>1001</t>
  </si>
  <si>
    <t>Equity Share Capital</t>
  </si>
  <si>
    <t>Equity</t>
  </si>
  <si>
    <t>Shareholders' Funds</t>
  </si>
  <si>
    <t>Share Capital</t>
  </si>
  <si>
    <t>1002</t>
  </si>
  <si>
    <t>Retained Earnings</t>
  </si>
  <si>
    <t>Reserves and Surplus</t>
  </si>
  <si>
    <t>2001</t>
  </si>
  <si>
    <t>Bank Term Loan</t>
  </si>
  <si>
    <t>Liability</t>
  </si>
  <si>
    <t>Non-Current Liabilities</t>
  </si>
  <si>
    <t>Long-term borrowings</t>
  </si>
  <si>
    <t>3001</t>
  </si>
  <si>
    <t>Trade Creditors</t>
  </si>
  <si>
    <t>Current Liabilities</t>
  </si>
  <si>
    <t>Trade payables</t>
  </si>
  <si>
    <t>4001</t>
  </si>
  <si>
    <t>Plant and Machinery</t>
  </si>
  <si>
    <t>Asset</t>
  </si>
  <si>
    <t>Non-Current Assets</t>
  </si>
  <si>
    <t>Property, Plant and Equipment</t>
  </si>
  <si>
    <t>5001</t>
  </si>
  <si>
    <t>HDFC Bank A/c</t>
  </si>
  <si>
    <t>Current Assets</t>
  </si>
  <si>
    <t>Cash and cash equivalents</t>
  </si>
  <si>
    <t>5002</t>
  </si>
  <si>
    <t>Accounts Receivable</t>
  </si>
  <si>
    <t>Trade receivables</t>
  </si>
  <si>
    <t>5003</t>
  </si>
  <si>
    <t>Inventory</t>
  </si>
  <si>
    <t>Inventories</t>
  </si>
  <si>
    <t>6001</t>
  </si>
  <si>
    <t>Sales Revenue</t>
  </si>
  <si>
    <t>Income</t>
  </si>
  <si>
    <t>INCOME</t>
  </si>
  <si>
    <t>Revenue from operations</t>
  </si>
  <si>
    <t>7001</t>
  </si>
  <si>
    <t>Employee Salaries</t>
  </si>
  <si>
    <t>Expense</t>
  </si>
  <si>
    <t>EXPENSES</t>
  </si>
  <si>
    <t>Employee benefits expense</t>
  </si>
  <si>
    <t>7002</t>
  </si>
  <si>
    <t>Interest Expense</t>
  </si>
  <si>
    <t>Finance costs</t>
  </si>
  <si>
    <t>7004</t>
  </si>
  <si>
    <t>Office Rent</t>
  </si>
  <si>
    <t>Other expenses</t>
  </si>
  <si>
    <t>Total</t>
  </si>
  <si>
    <t>Post Adjustment Entries</t>
  </si>
  <si>
    <t>Debit Amount</t>
  </si>
  <si>
    <t>Credit Amount</t>
  </si>
  <si>
    <t>Narration</t>
  </si>
  <si>
    <t>Balance Sheet as at March 31, 2025</t>
  </si>
  <si>
    <t>Node Code</t>
  </si>
  <si>
    <t>Particulars</t>
  </si>
  <si>
    <t>1</t>
  </si>
  <si>
    <t>1.1</t>
  </si>
  <si>
    <t>1.1.1</t>
  </si>
  <si>
    <t>1.1.2</t>
  </si>
  <si>
    <t>1.2</t>
  </si>
  <si>
    <t>1.2.1</t>
  </si>
  <si>
    <t>1.3</t>
  </si>
  <si>
    <t>1.3.1</t>
  </si>
  <si>
    <t>Short-term borrowings</t>
  </si>
  <si>
    <t>1.3.2</t>
  </si>
  <si>
    <t>1.3.3</t>
  </si>
  <si>
    <t>Other current liabilities</t>
  </si>
  <si>
    <t>1.3.4</t>
  </si>
  <si>
    <t>Short-term provisions</t>
  </si>
  <si>
    <t>2</t>
  </si>
  <si>
    <t>ASSETS</t>
  </si>
  <si>
    <t>2.1</t>
  </si>
  <si>
    <t>2.1.1</t>
  </si>
  <si>
    <t>Property, Plant and Equipment and Intangible Assets</t>
  </si>
  <si>
    <t>2.1.1.1</t>
  </si>
  <si>
    <t>2.1.1.2</t>
  </si>
  <si>
    <t>Intangible assets</t>
  </si>
  <si>
    <t>2.1.2</t>
  </si>
  <si>
    <t>Non-current investments</t>
  </si>
  <si>
    <t>2.2</t>
  </si>
  <si>
    <t>2.2.1</t>
  </si>
  <si>
    <t>Current investments</t>
  </si>
  <si>
    <t>2.2.2</t>
  </si>
  <si>
    <t>2.2.3</t>
  </si>
  <si>
    <t>2.2.4</t>
  </si>
  <si>
    <t>2.2.5</t>
  </si>
  <si>
    <t>Short-term loans and advances</t>
  </si>
  <si>
    <t>2.2.6</t>
  </si>
  <si>
    <t>Other current assets</t>
  </si>
  <si>
    <t>Profit &amp; Loss for the year ended March 31, 2025</t>
  </si>
  <si>
    <t>3</t>
  </si>
  <si>
    <t>3.1</t>
  </si>
  <si>
    <t>3.2</t>
  </si>
  <si>
    <t>Other income</t>
  </si>
  <si>
    <t>4</t>
  </si>
  <si>
    <t>4.1</t>
  </si>
  <si>
    <t>Cost of materials consumed</t>
  </si>
  <si>
    <t>4.2</t>
  </si>
  <si>
    <t>Purchase of Stock-in-Trade</t>
  </si>
  <si>
    <t>4.3</t>
  </si>
  <si>
    <t>4.4</t>
  </si>
  <si>
    <t>4.5</t>
  </si>
  <si>
    <t>Depreciation and amortization expense</t>
  </si>
  <si>
    <t>4.6</t>
  </si>
  <si>
    <t>Indirect Cash Flow Statement</t>
  </si>
  <si>
    <t>Amount</t>
  </si>
  <si>
    <t>Cash Flow from Operating Activities</t>
  </si>
  <si>
    <t>Net Profit Before Tax</t>
  </si>
  <si>
    <t>Adjustment: Depreciation and Amortization</t>
  </si>
  <si>
    <t>Operating Profit before Working Capital Changes</t>
  </si>
  <si>
    <t>Changes in Trade Payables</t>
  </si>
  <si>
    <t>Changes in Trade Receivables</t>
  </si>
  <si>
    <t>Changes in Inventories</t>
  </si>
  <si>
    <t>Net Cash from Operating Activities</t>
  </si>
  <si>
    <t>Cash Flow from Investing Activities</t>
  </si>
  <si>
    <t>Purchase of Property, Plant and Equipment</t>
  </si>
  <si>
    <t>Net Cash from Investing Activities</t>
  </si>
  <si>
    <t>Cash Flow from Financing Activities</t>
  </si>
  <si>
    <t>Proceeds from Share Capital</t>
  </si>
  <si>
    <t>Proceeds from Long-term Borrowings</t>
  </si>
  <si>
    <t>Net Cash from Financing Activities</t>
  </si>
  <si>
    <t>Net Increase / (Decrease) in Cash</t>
  </si>
  <si>
    <t>Opening Cash &amp; Cash Equivalents</t>
  </si>
  <si>
    <t>Closing Cash &amp; Cash Equivalents</t>
  </si>
  <si>
    <t>Ageing Schedules (Trade Receivables &amp; Payables)</t>
  </si>
  <si>
    <t>Trade Receivables Ageing Schedule</t>
  </si>
  <si>
    <t>Less than 6 months</t>
  </si>
  <si>
    <t>6 months - 1 year</t>
  </si>
  <si>
    <t>1 - 2 years</t>
  </si>
  <si>
    <t>2 - 3 years</t>
  </si>
  <si>
    <t>More than 3 years</t>
  </si>
  <si>
    <t>(i) Undisputed Trade Receivables - considered good</t>
  </si>
  <si>
    <t>(ii) Undisputed Trade Receivables - considered doubtful</t>
  </si>
  <si>
    <t>(iii) Disputed Trade Receivables - considered good</t>
  </si>
  <si>
    <t>(iv) Disputed Trade Receivables - considered doubtful</t>
  </si>
  <si>
    <t>Total Trade Receivables</t>
  </si>
  <si>
    <t>Balance Sheet Control Total</t>
  </si>
  <si>
    <t>Unreconciled Difference</t>
  </si>
  <si>
    <t>Trade Payables Ageing Schedule</t>
  </si>
  <si>
    <t>Less than 1 year</t>
  </si>
  <si>
    <t>(i) MSME</t>
  </si>
  <si>
    <t>-</t>
  </si>
  <si>
    <t>(ii) Others</t>
  </si>
  <si>
    <t>(iii) Disputed dues - MSME</t>
  </si>
  <si>
    <t>(iv) Disputed dues - Others</t>
  </si>
  <si>
    <t>Total Trade Payables</t>
  </si>
  <si>
    <t>Note 1: Significant Accounting Policies</t>
  </si>
  <si>
    <t>1. Basis of Preparation:</t>
  </si>
  <si>
    <t>The financial statements are prepared under historical cost convention on an accrual basis of accounting in accordance with the standard Indian Accounting Standards (AS) and the provisions of the Companies Act, 2013.</t>
  </si>
  <si>
    <t>2. Property, Plant and Equipment (PPE):</t>
  </si>
  <si>
    <t>PPE are stated at cost of acquisition less accumulated depreciation. Depreciation is calculated using the Straight Line Method (SLM) based on the useful lives of assets prescribed under Schedule II of the Companies Act, 2013.</t>
  </si>
  <si>
    <t>3. Revenue Recognition:</t>
  </si>
  <si>
    <t>Revenue is recognized when control of the goods or services is transferred to the customer at an amount that reflects the consideration to which the company expects to be entitled.</t>
  </si>
  <si>
    <t>Note 2: Share Capital</t>
  </si>
  <si>
    <t>GL Particulars</t>
  </si>
  <si>
    <t>Total Share Capital</t>
  </si>
  <si>
    <t>Note 3: Reserves and Surplus</t>
  </si>
  <si>
    <t>Total Reserves and Surplus</t>
  </si>
  <si>
    <t>Note 4: Trade Payables</t>
  </si>
  <si>
    <t>Note 5: Property, Plant and Equipment</t>
  </si>
  <si>
    <t>Total Property, Plant and Equipment</t>
  </si>
  <si>
    <t>Note 6: Trade Receivables</t>
  </si>
  <si>
    <t>Note 7: Cash and Cash Equivalents</t>
  </si>
  <si>
    <t>Total Cash and Cash Equivalents</t>
  </si>
  <si>
    <t>Note 8: Revenue from Operations</t>
  </si>
  <si>
    <t>Total Revenue from Operations</t>
  </si>
  <si>
    <t>Note 9: Employee Benefit Expenses</t>
  </si>
  <si>
    <t>Total Employee Benefit Expenses</t>
  </si>
  <si>
    <t>Note 11: Analytical Ratios</t>
  </si>
  <si>
    <t>Ratio Name</t>
  </si>
  <si>
    <t>Formula / Details</t>
  </si>
  <si>
    <t>Current Value</t>
  </si>
  <si>
    <t>Current Ratio</t>
  </si>
  <si>
    <t>Current Assets / Current Liabilities</t>
  </si>
  <si>
    <t>Debt to Equity Ratio</t>
  </si>
  <si>
    <t>Long-term Borrowings / Shareholders' Funds</t>
  </si>
  <si>
    <t>Income Tax Return - Balance Sheet and Profit &amp; Loss</t>
  </si>
  <si>
    <t>Year ended March 31, 2025</t>
  </si>
  <si>
    <t>All amounts in INR Unrounded, unless otherwise stated</t>
  </si>
  <si>
    <t>Field Name</t>
  </si>
  <si>
    <t>Amount CY</t>
  </si>
  <si>
    <t>Amount PY</t>
  </si>
  <si>
    <t>Long-term Borrowings</t>
  </si>
  <si>
    <t>Short-term Borrowings</t>
  </si>
  <si>
    <t>Trade Payables</t>
  </si>
  <si>
    <t>Other Current Liabilities</t>
  </si>
  <si>
    <t>Short-term Provisions</t>
  </si>
  <si>
    <t>Intangible Assets</t>
  </si>
  <si>
    <t>Non-Current Investments</t>
  </si>
  <si>
    <t>Trade Receivables</t>
  </si>
  <si>
    <t>Cash and Cash Equivalents</t>
  </si>
  <si>
    <t>Short-term Loans and Advances</t>
  </si>
  <si>
    <t>Other Current Assets</t>
  </si>
  <si>
    <t>Revenue from Operations</t>
  </si>
  <si>
    <t>Other Income</t>
  </si>
  <si>
    <t>Cost of Materials Consumed</t>
  </si>
  <si>
    <t>Employee Benefits Expense</t>
  </si>
  <si>
    <t>Finance Costs</t>
  </si>
  <si>
    <t>Depreciation and Amortization</t>
  </si>
  <si>
    <t>Other Expenses</t>
  </si>
  <si>
    <t>Diagnostic Validation Controls</t>
  </si>
  <si>
    <t>Diagnostic Description</t>
  </si>
  <si>
    <t>Actual Value 1</t>
  </si>
  <si>
    <t>Actual Value 2</t>
  </si>
  <si>
    <t>Status</t>
  </si>
  <si>
    <t>Trial Balance Debits = Credits</t>
  </si>
  <si>
    <t>Total Assets = Total Equity &amp; Liabilities</t>
  </si>
  <si>
    <t>Cash Flow Reconciled (Opening + Change = Closing)</t>
  </si>
  <si>
    <t>Node Name</t>
  </si>
  <si>
    <t>Statement</t>
  </si>
  <si>
    <t>EQUITY AND LIABILITIES</t>
  </si>
  <si>
    <t>EQUITY</t>
  </si>
  <si>
    <t>BALANCE_SHEET</t>
  </si>
  <si>
    <t>LIABILITY</t>
  </si>
  <si>
    <t>ASSET</t>
  </si>
  <si>
    <t>REVENUE</t>
  </si>
  <si>
    <t>PROFIT_LOSS</t>
  </si>
  <si>
    <t>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</si>
</sst>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00;[Red]\-#,##0.00;&quot;0.00&quot;"/>
  </numFmts>
  <fonts count="23" x14ac:knownFonts="1">
    <font>
      <sz val="11"/>
      <color theme="1"/>
      <name val="Calibri"/>
      <family val="2"/>
      <scheme val="minor"/>
    </font>
    <font>
      <b/>
      <sz val="18"/>
      <color rgb="FFFFFFFF"/>
      <name val="Calibri"/>
    </font>
    <font>
      <b/>
      <sz val="10"/>
      <color rgb="FFFFFFFF"/>
      <name val="Calibri"/>
    </font>
    <font>
      <b/>
      <sz val="9"/>
      <color rgb="FF555555"/>
      <name val="Calibri"/>
    </font>
    <font>
      <b/>
      <sz val="11"/>
      <color rgb="FF000000"/>
      <name val="Calibri"/>
    </font>
    <font>
      <b/>
      <sz val="10"/>
      <color rgb="FF333333"/>
      <name val="Calibri"/>
    </font>
    <font>
      <b/>
      <sz val="11"/>
      <color rgb="FFFFFFFF"/>
      <name val="Calibri"/>
    </font>
    <font>
      <b/>
      <sz val="9"/>
      <color rgb="FF111111"/>
      <name val="Calibri"/>
    </font>
    <font>
      <sz val="9"/>
      <color rgb="FF555555"/>
      <name val="Calibri"/>
    </font>
    <font>
      <b/>
      <u/>
      <sz val="11"/>
      <color rgb="FF0000FF"/>
      <name val="Calibri"/>
    </font>
    <font>
      <b/>
      <sz val="14"/>
      <name val="Calibri"/>
    </font>
    <font>
      <b/>
      <sz val="11"/>
      <name val="Calibri"/>
    </font>
    <font>
      <b/>
      <sz val="11"/>
      <color rgb="FFFFFFFF"/>
      <name val="Calibri"/>
    </font>
    <font>
      <b/>
      <sz val="14"/>
      <color rgb="FFFFFFFF"/>
      <name val="Calibri"/>
    </font>
    <font>
      <b/>
      <sz val="9"/>
      <color rgb="FFFFFFFF"/>
      <name val="Calibri"/>
    </font>
    <font>
      <sz val="10"/>
      <name val="Calibri"/>
    </font>
    <font>
      <b/>
      <sz val="12"/>
      <name val="Calibri"/>
    </font>
    <font>
      <i/>
      <sz val="10"/>
      <name val="Calibri"/>
    </font>
    <font>
      <b/>
      <sz val="10"/>
      <name val="Calibri"/>
    </font>
    <font>
      <i/>
      <sz val="10"/>
      <name val="Calibri"/>
    </font>
    <font>
      <b/>
      <sz val="10"/>
      <color rgb="FFFF0000"/>
      <name val="Calibri"/>
    </font>
    <font>
      <b/>
      <sz val="11"/>
      <name val="Calibri"/>
    </font>
    <font>
      <i/>
      <sz val="8"/>
      <color rgb="FF555555"/>
      <name val="Calibri"/>
    </font>
  </fonts>
  <fills count="8">
    <fill>
      <patternFill patternType="none"/>
    </fill>
    <fill>
      <patternFill patternType="gray125"/>
    </fill>
    <fill>
      <patternFill patternType="solid">
        <fgColor rgb="FF333333"/>
        <bgColor rgb="FF333333"/>
      </patternFill>
    </fill>
    <fill>
      <patternFill patternType="solid">
        <fgColor rgb="FFF9F9F9"/>
        <bgColor rgb="FFF9F9F9"/>
      </patternFill>
    </fill>
    <fill>
      <patternFill patternType="solid">
        <fgColor rgb="FF4F4F4F"/>
        <bgColor rgb="FF4F4F4F"/>
      </patternFill>
    </fill>
    <fill>
      <patternFill patternType="solid">
        <fgColor rgb="FFF2F2F2"/>
        <bgColor rgb="FFF2F2F2"/>
      </patternFill>
    </fill>
    <fill>
      <patternFill patternType="solid">
        <fgColor rgb="FFFFFFFF"/>
        <bgColor rgb="FFFFFFFF"/>
      </patternFill>
    </fill>
    <fill>
      <patternFill patternType="solid">
        <fgColor rgb="FF7F7F7F"/>
        <bgColor rgb="FF7F7F7F"/>
      </patternFill>
    </fill>
  </fills>
  <borders count="4">
    <border>
      <left/>
      <right/>
      <top/>
      <bottom/>
      <diagonal/>
    </border>
    <border>
      <left style="thin">
        <color rgb="FFD9D9D9"/>
      </left>
      <right style="thin">
        <color rgb="FFD9D9D9"/>
      </right>
      <top style="thin">
        <color rgb="FFD9D9D9"/>
      </top>
      <bottom style="thin">
        <color rgb="FFD9D9D9"/>
      </bottom>
      <diagonal/>
    </border>
    <border>
      <left/>
      <right/>
      <top style="thin">
        <color rgb="FF000000"/>
      </top>
      <bottom style="double">
        <color rgb="FF000000"/>
      </bottom>
      <diagonal/>
    </border>
    <border>
      <left/>
      <right/>
      <top style="thin">
        <color rgb="FF000000"/>
      </top>
      <bottom/>
      <diagonal/>
    </border>
  </borders>
  <cellStyleXfs count="1">
    <xf numFmtId="0" fontId="0" fillId="0" borderId="0"/>
  </cellStyleXfs>
  <cellXfs count="62">
    <xf numFmtId="0" fontId="0" fillId="0" borderId="0" xfId="0"/>
    <xf numFmtId="0" fontId="0" fillId="3" borderId="0" xfId="0" applyFill="1"/>
    <xf numFmtId="0" fontId="2" fillId="4" borderId="1" xfId="0" applyFont="1" applyFill="1" applyBorder="1" applyAlignment="1">
      <alignment horizontal="center" vertical="center"/>
    </xf>
    <xf numFmtId="0" fontId="3" fillId="5" borderId="1" xfId="0" applyFont="1" applyFill="1" applyBorder="1" applyAlignment="1">
      <alignment horizontal="center" vertical="center"/>
    </xf>
    <xf numFmtId="0" fontId="4" fillId="6" borderId="1" xfId="0" applyFont="1" applyFill="1" applyBorder="1" applyAlignment="1">
      <alignment horizontal="center" vertical="center"/>
    </xf>
    <xf numFmtId="164" fontId="4" fillId="6" borderId="1" xfId="0" applyNumberFormat="1" applyFont="1" applyFill="1" applyBorder="1" applyAlignment="1">
      <alignment horizontal="center" vertical="center"/>
    </xf>
    <xf numFmtId="0" fontId="0" fillId="0" borderId="1" xfId="0" applyBorder="1"/>
    <xf numFmtId="0" fontId="9" fillId="0" borderId="0" xfId="0" applyFont="1"/>
    <xf numFmtId="0" fontId="11" fillId="0" borderId="1" xfId="0" applyFont="1" applyBorder="1"/>
    <xf numFmtId="0" fontId="14" fillId="7" borderId="1" xfId="0" applyFont="1" applyFill="1" applyBorder="1" applyAlignment="1">
      <alignment horizontal="left" vertical="center"/>
    </xf>
    <xf numFmtId="0" fontId="14" fillId="7" borderId="1" xfId="0" applyFont="1" applyFill="1" applyBorder="1" applyAlignment="1">
      <alignment horizontal="center" vertical="center"/>
    </xf>
    <xf numFmtId="0" fontId="15" fillId="0" borderId="1" xfId="0" applyFont="1" applyBorder="1"/>
    <xf numFmtId="4" fontId="15" fillId="0" borderId="1" xfId="0" applyNumberFormat="1" applyFont="1" applyBorder="1"/>
    <xf numFmtId="0" fontId="11" fillId="0" borderId="2" xfId="0" applyFont="1" applyBorder="1"/>
    <xf numFmtId="0" fontId="0" fillId="0" borderId="2" xfId="0" applyBorder="1"/>
    <xf numFmtId="4" fontId="11" fillId="0" borderId="2" xfId="0" applyNumberFormat="1" applyFont="1" applyBorder="1"/>
    <xf numFmtId="0" fontId="10" fillId="0" borderId="0" xfId="0" applyFont="1"/>
    <xf numFmtId="0" fontId="12" fillId="2" borderId="0" xfId="0" applyFont="1" applyFill="1"/>
    <xf numFmtId="4" fontId="0" fillId="0" borderId="1" xfId="0" applyNumberFormat="1" applyBorder="1"/>
    <xf numFmtId="0" fontId="12" fillId="2" borderId="0" xfId="0" applyFont="1" applyFill="1" applyAlignment="1">
      <alignment horizontal="left" vertical="center"/>
    </xf>
    <xf numFmtId="0" fontId="12" fillId="2" borderId="0" xfId="0" applyFont="1" applyFill="1" applyAlignment="1">
      <alignment horizontal="center" vertical="center"/>
    </xf>
    <xf numFmtId="0" fontId="15" fillId="0" borderId="0" xfId="0" applyFont="1"/>
    <xf numFmtId="0" fontId="15" fillId="0" borderId="2" xfId="0" applyFont="1" applyBorder="1"/>
    <xf numFmtId="4" fontId="15" fillId="0" borderId="2" xfId="0" applyNumberFormat="1" applyFont="1" applyBorder="1"/>
    <xf numFmtId="0" fontId="15" fillId="0" borderId="3" xfId="0" applyFont="1" applyBorder="1"/>
    <xf numFmtId="4" fontId="15" fillId="0" borderId="3" xfId="0" applyNumberFormat="1" applyFont="1" applyBorder="1"/>
    <xf numFmtId="0" fontId="15" fillId="0" borderId="0" xfId="0" applyFont="1" applyAlignment="1">
      <alignment indent="1"/>
    </xf>
    <xf numFmtId="4" fontId="15" fillId="0" borderId="0" xfId="0" applyNumberFormat="1" applyFont="1"/>
    <xf numFmtId="4" fontId="18" fillId="0" borderId="1" xfId="0" applyNumberFormat="1" applyFont="1" applyBorder="1"/>
    <xf numFmtId="0" fontId="2" fillId="7" borderId="0" xfId="0" applyFont="1" applyFill="1" applyAlignment="1">
      <alignment horizontal="left" vertical="center" wrapText="1"/>
    </xf>
    <xf numFmtId="0" fontId="2" fillId="7" borderId="0" xfId="0" applyFont="1" applyFill="1" applyAlignment="1">
      <alignment horizontal="center" vertical="center" wrapText="1"/>
    </xf>
    <xf numFmtId="4" fontId="11" fillId="0" borderId="1" xfId="0" applyNumberFormat="1" applyFont="1" applyBorder="1"/>
    <xf numFmtId="0" fontId="19" fillId="0" borderId="1" xfId="0" applyFont="1" applyBorder="1"/>
    <xf numFmtId="4" fontId="19" fillId="0" borderId="1" xfId="0" applyNumberFormat="1" applyFont="1" applyBorder="1"/>
    <xf numFmtId="0" fontId="20" fillId="0" borderId="1" xfId="0" applyFont="1" applyBorder="1"/>
    <xf numFmtId="165" fontId="18" fillId="0" borderId="1" xfId="0" applyNumberFormat="1" applyFont="1" applyBorder="1"/>
    <xf numFmtId="0" fontId="0" fillId="7" borderId="0" xfId="0" applyFill="1"/>
    <xf numFmtId="0" fontId="0" fillId="0" borderId="1" xfId="0" applyBorder="1" applyAlignment="1">
      <alignment horizontal="center"/>
    </xf>
    <xf numFmtId="0" fontId="0" fillId="0" borderId="2" xfId="0" applyBorder="1" applyAlignment="1">
      <alignment horizontal="center"/>
    </xf>
    <xf numFmtId="0" fontId="16" fillId="0" borderId="0" xfId="0" applyFont="1"/>
    <xf numFmtId="0" fontId="21" fillId="0" borderId="0" xfId="0" applyFont="1"/>
    <xf numFmtId="0" fontId="18" fillId="0" borderId="2" xfId="0" applyFont="1" applyBorder="1"/>
    <xf numFmtId="4" fontId="18" fillId="0" borderId="2" xfId="0" applyNumberFormat="1" applyFont="1" applyBorder="1"/>
    <xf numFmtId="2" fontId="15" fillId="0" borderId="1" xfId="0" applyNumberFormat="1" applyFont="1" applyBorder="1"/>
    <xf numFmtId="0" fontId="12" fillId="2" borderId="1" xfId="0" applyFont="1" applyFill="1" applyBorder="1"/>
    <xf numFmtId="0" fontId="5" fillId="3" borderId="0" xfId="0" applyFont="1" applyFill="1" applyAlignment="1">
      <alignment horizontal="center" vertical="center"/>
    </xf>
    <xf numFmtId="0" fontId="0" fillId="0" borderId="0" xfId="0"/>
    <xf numFmtId="0" fontId="7" fillId="5" borderId="1" xfId="0" applyFont="1" applyFill="1" applyBorder="1" applyAlignment="1">
      <alignment horizontal="left" vertical="center"/>
    </xf>
    <xf numFmtId="0" fontId="0" fillId="0" borderId="1" xfId="0" applyBorder="1"/>
    <xf numFmtId="0" fontId="8" fillId="6" borderId="1" xfId="0" applyFont="1" applyFill="1" applyBorder="1" applyAlignment="1">
      <alignment horizontal="left" vertical="center"/>
    </xf>
    <xf numFmtId="0" fontId="1" fillId="2" borderId="0" xfId="0" applyFont="1" applyFill="1" applyAlignment="1">
      <alignment horizontal="center" vertical="center"/>
    </xf>
    <xf numFmtId="0" fontId="4" fillId="6" borderId="1" xfId="0" applyFont="1" applyFill="1" applyBorder="1" applyAlignment="1">
      <alignment horizontal="center" vertical="center"/>
    </xf>
    <xf numFmtId="0" fontId="6" fillId="2" borderId="0" xfId="0" applyFont="1" applyFill="1" applyAlignment="1">
      <alignment horizontal="center" vertical="center"/>
    </xf>
    <xf numFmtId="0" fontId="3" fillId="5" borderId="1" xfId="0" applyFont="1" applyFill="1" applyBorder="1" applyAlignment="1">
      <alignment horizontal="center" vertical="center"/>
    </xf>
    <xf numFmtId="0" fontId="13" fillId="2" borderId="0" xfId="0" applyFont="1" applyFill="1" applyAlignment="1">
      <alignment horizontal="center" vertical="center"/>
    </xf>
    <xf numFmtId="0" fontId="2" fillId="4" borderId="0" xfId="0" applyFont="1" applyFill="1" applyAlignment="1">
      <alignment horizontal="center" vertical="center"/>
    </xf>
    <xf numFmtId="0" fontId="17" fillId="0" borderId="0" xfId="0" applyFont="1" applyAlignment="1">
      <alignment horizontal="center"/>
    </xf>
    <xf numFmtId="0" fontId="16" fillId="0" borderId="0" xfId="0" applyFont="1" applyAlignment="1">
      <alignment horizontal="center"/>
    </xf>
    <xf numFmtId="0" fontId="6" fillId="4" borderId="0" xfId="0" applyFont="1" applyFill="1" applyAlignment="1">
      <alignment horizontal="left" vertical="center"/>
    </xf>
    <xf numFmtId="0" fontId="22" fillId="0" borderId="0" xfId="0" applyFont="1"/>
    <xf numFmtId="0" fontId="19" fillId="0" borderId="0" xfId="0" applyFont="1"/>
    <xf numFmtId="0" fontId="10"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xdr:colOff>
          <xdr:row>14</xdr:row>
          <xdr:rowOff>0</xdr:rowOff>
        </xdr:from>
        <xdr:to>
          <xdr:col>5</xdr:col>
          <xdr:colOff>1303020</xdr:colOff>
          <xdr:row>16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6394883C-2542-09EA-144E-CD9893696C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Show/Hide Toolbar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14</xdr:row>
          <xdr:rowOff>0</xdr:rowOff>
        </xdr:from>
        <xdr:to>
          <xdr:col>6</xdr:col>
          <xdr:colOff>1303020</xdr:colOff>
          <xdr:row>16</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CE7496C8-9444-7DE2-18A7-639555BCE60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Trial Balance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xdr:colOff>
          <xdr:row>14</xdr:row>
          <xdr:rowOff>0</xdr:rowOff>
        </xdr:from>
        <xdr:to>
          <xdr:col>7</xdr:col>
          <xdr:colOff>1303020</xdr:colOff>
          <xdr:row>16</xdr:row>
          <xdr:rowOff>60960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42BF4D1-EB08-9080-4B94-C0196E698E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Export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17</xdr:row>
          <xdr:rowOff>0</xdr:rowOff>
        </xdr:from>
        <xdr:to>
          <xdr:col>7</xdr:col>
          <xdr:colOff>746760</xdr:colOff>
          <xdr:row>18</xdr:row>
          <xdr:rowOff>144780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C2B6B1D3-9B7D-15A1-68C4-02AFDDED07C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Roll Forward Year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1</xdr:row>
          <xdr:rowOff>0</xdr:rowOff>
        </xdr:from>
        <xdr:to>
          <xdr:col>4</xdr:col>
          <xdr:colOff>1303020</xdr:colOff>
          <xdr:row>2</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5C33FA3F-C71D-A50D-8C94-45B86E82F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Fit on Two Pages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3</xdr:row>
          <xdr:rowOff>0</xdr:rowOff>
        </xdr:from>
        <xdr:to>
          <xdr:col>4</xdr:col>
          <xdr:colOff>1303020</xdr:colOff>
          <xdr:row>4</xdr:row>
          <xdr:rowOff>144780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28DCC874-2EF5-FC2E-75DA-14256F34053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Fit on One 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1</xdr:row>
          <xdr:rowOff>0</xdr:rowOff>
        </xdr:from>
        <xdr:to>
          <xdr:col>4</xdr:col>
          <xdr:colOff>1303020</xdr:colOff>
          <xdr:row>2</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7F5ADAAA-B412-328F-7EBE-D970D69B7F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Fit on Two Pages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3</xdr:row>
          <xdr:rowOff>0</xdr:rowOff>
        </xdr:from>
        <xdr:to>
          <xdr:col>4</xdr:col>
          <xdr:colOff>1303020</xdr:colOff>
          <xdr:row>4</xdr:row>
          <xdr:rowOff>144780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43182A9A-C9E1-19DF-4685-C8228C238A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Fit on One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1</xdr:row>
          <xdr:rowOff>0</xdr:rowOff>
        </xdr:from>
        <xdr:to>
          <xdr:col>4</xdr:col>
          <xdr:colOff>1303020</xdr:colOff>
          <xdr:row>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84389BE-AAED-936C-74C2-96164D781F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CompuTax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60960</xdr:colOff>
          <xdr:row>3</xdr:row>
          <xdr:rowOff>0</xdr:rowOff>
        </xdr:from>
        <xdr:to>
          <xdr:col>4</xdr:col>
          <xdr:colOff>1303020</xdr:colOff>
          <xdr:row>4</xdr:row>
          <xdr:rowOff>144780</xdr:rowOff>
        </xdr:to>
        <xdr:sp macro="" textlink="">
          <xdr:nvSpPr>
            <xdr:cNvPr id="4098" name="Button 2" hidden="1">
              <a:extLst>
                <a:ext uri="{63B3BB69-23CF-44E3-9099-C40C66FF867C}">
                  <a14:compatExt spid="_x0000_s4098"/>
                </a:ext>
                <a:ext uri="{FF2B5EF4-FFF2-40B4-BE49-F238E27FC236}">
                  <a16:creationId xmlns:a16="http://schemas.microsoft.com/office/drawing/2014/main" id="{DFDB3AE7-33DE-8F2B-CAD1-9B05A63CFB8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Winman 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H30"/>
  <sheetViews>
    <sheetView tabSelected="1" workbookViewId="0"/>
  </sheetViews>
  <sheetFormatPr defaultRowHeight="14.4" x14ac:dyDescent="0.3"/>
  <cols>
    <col min="1" max="1" width="5" customWidth="1"/>
    <col min="2" max="2" width="25" customWidth="1"/>
    <col min="3" max="3" width="5" customWidth="1"/>
    <col min="4" max="4" width="25" customWidth="1"/>
    <col min="5" max="5" width="5" customWidth="1"/>
    <col min="6" max="8" width="20" customWidth="1"/>
  </cols>
  <sheetData>
    <row r="2" spans="1:8" ht="25.05" customHeight="1" x14ac:dyDescent="0.3">
      <c r="A2" s="50" t="s">
        <v>0</v>
      </c>
      <c r="B2" s="46"/>
      <c r="C2" s="46"/>
      <c r="D2" s="46"/>
      <c r="E2" s="46"/>
      <c r="F2" s="46"/>
      <c r="G2" s="46"/>
      <c r="H2" s="46"/>
    </row>
    <row r="3" spans="1:8" ht="25.05" customHeight="1" x14ac:dyDescent="0.3">
      <c r="A3" s="46"/>
      <c r="B3" s="46"/>
      <c r="C3" s="46"/>
      <c r="D3" s="46"/>
      <c r="E3" s="46"/>
      <c r="F3" s="46"/>
      <c r="G3" s="46"/>
      <c r="H3" s="46"/>
    </row>
    <row r="5" spans="1:8" ht="24" customHeight="1" x14ac:dyDescent="0.3">
      <c r="A5" s="1"/>
      <c r="B5" s="2" t="str">
        <f>HYPERLINK("#'BD'!A1", "BD - Basic Details")</f>
        <v>BD - Basic Details</v>
      </c>
      <c r="C5" s="1"/>
      <c r="D5" s="2" t="str">
        <f>HYPERLINK("#'N1'!A1", "N1 - Accounting Policies")</f>
        <v>N1 - Accounting Policies</v>
      </c>
      <c r="E5" s="1"/>
      <c r="F5" s="3" t="s">
        <v>1</v>
      </c>
      <c r="G5" s="3" t="s">
        <v>2</v>
      </c>
      <c r="H5" s="3" t="s">
        <v>3</v>
      </c>
    </row>
    <row r="6" spans="1:8" x14ac:dyDescent="0.3">
      <c r="A6" s="1"/>
      <c r="B6" s="1"/>
      <c r="C6" s="1"/>
      <c r="D6" s="1"/>
      <c r="E6" s="1"/>
      <c r="F6" s="4" t="str">
        <f>IF(Validation!D7="PASS", "RECONCILED", "UNRECONCILED")</f>
        <v>RECONCILED</v>
      </c>
      <c r="G6" s="4" t="str">
        <f>IF(Validation!D8="PASS", "RECONCILED", "UNRECONCILED")</f>
        <v>RECONCILED</v>
      </c>
      <c r="H6" s="4" t="s">
        <v>4</v>
      </c>
    </row>
    <row r="7" spans="1:8" ht="24" customHeight="1" x14ac:dyDescent="0.3">
      <c r="A7" s="1"/>
      <c r="B7" s="2" t="str">
        <f>HYPERLINK("#'TB'!A1", "TB - Ledger Groupings")</f>
        <v>TB - Ledger Groupings</v>
      </c>
      <c r="C7" s="1"/>
      <c r="D7" s="2" t="str">
        <f>HYPERLINK("#'N2'!A1", "N2 - Liabilities")</f>
        <v>N2 - Liabilities</v>
      </c>
      <c r="E7" s="1"/>
      <c r="F7" s="1"/>
      <c r="G7" s="1"/>
      <c r="H7" s="1"/>
    </row>
    <row r="8" spans="1:8" x14ac:dyDescent="0.3">
      <c r="A8" s="1"/>
      <c r="B8" s="1"/>
      <c r="C8" s="1"/>
      <c r="D8" s="1"/>
      <c r="E8" s="1"/>
      <c r="F8" s="1"/>
      <c r="G8" s="1"/>
      <c r="H8" s="1"/>
    </row>
    <row r="9" spans="1:8" ht="24" customHeight="1" x14ac:dyDescent="0.3">
      <c r="A9" s="1"/>
      <c r="B9" s="2" t="str">
        <f>HYPERLINK("#'AE'!A1", "AE - Adjustment Entries")</f>
        <v>AE - Adjustment Entries</v>
      </c>
      <c r="C9" s="1"/>
      <c r="D9" s="2" t="str">
        <f>HYPERLINK("#'N3'!A1", "N3 - Fixed Assets")</f>
        <v>N3 - Fixed Assets</v>
      </c>
      <c r="E9" s="1"/>
      <c r="F9" s="3" t="s">
        <v>5</v>
      </c>
      <c r="G9" s="3" t="s">
        <v>6</v>
      </c>
      <c r="H9" s="3" t="s">
        <v>7</v>
      </c>
    </row>
    <row r="10" spans="1:8" x14ac:dyDescent="0.3">
      <c r="A10" s="1"/>
      <c r="B10" s="1"/>
      <c r="C10" s="1"/>
      <c r="D10" s="1"/>
      <c r="E10" s="1"/>
      <c r="F10" s="4" t="str">
        <f>BD!B5</f>
        <v>FY 2025-26</v>
      </c>
      <c r="G10" s="5">
        <f>IFERROR(VLOOKUP("3", PL!$A:$D, 3, FALSE), 0)</f>
        <v>400000</v>
      </c>
      <c r="H10" s="5">
        <f>IFERROR(VLOOKUP("3", PL!$A:$D, 3, FALSE), 0) - IFERROR(VLOOKUP("4", PL!$A:$D, 3, FALSE), 0)</f>
        <v>215000</v>
      </c>
    </row>
    <row r="11" spans="1:8" ht="24" customHeight="1" x14ac:dyDescent="0.3">
      <c r="A11" s="1"/>
      <c r="B11" s="2" t="str">
        <f>HYPERLINK("#'BS'!A1", "BS - Balance Sheet")</f>
        <v>BS - Balance Sheet</v>
      </c>
      <c r="C11" s="1"/>
      <c r="D11" s="2" t="str">
        <f>HYPERLINK("#'N4'!A1", "N4 - Assets")</f>
        <v>N4 - Assets</v>
      </c>
      <c r="E11" s="1"/>
      <c r="F11" s="1"/>
      <c r="G11" s="1"/>
      <c r="H11" s="1"/>
    </row>
    <row r="12" spans="1:8" x14ac:dyDescent="0.3">
      <c r="A12" s="1"/>
      <c r="B12" s="1"/>
      <c r="C12" s="1"/>
      <c r="D12" s="1"/>
      <c r="E12" s="1"/>
      <c r="F12" s="1"/>
      <c r="G12" s="1"/>
      <c r="H12" s="1"/>
    </row>
    <row r="13" spans="1:8" ht="24" customHeight="1" x14ac:dyDescent="0.3">
      <c r="A13" s="1"/>
      <c r="B13" s="2" t="str">
        <f>HYPERLINK("#'PL'!A1", "PL - Profit &amp; Loss")</f>
        <v>PL - Profit &amp; Loss</v>
      </c>
      <c r="C13" s="1"/>
      <c r="D13" s="2" t="str">
        <f>HYPERLINK("#'N5'!A1", "N5 - Income &amp; Expense")</f>
        <v>N5 - Income &amp; Expense</v>
      </c>
      <c r="E13" s="1"/>
      <c r="F13" s="45" t="s">
        <v>8</v>
      </c>
      <c r="G13" s="53" t="s">
        <v>9</v>
      </c>
      <c r="H13" s="46"/>
    </row>
    <row r="14" spans="1:8" x14ac:dyDescent="0.3">
      <c r="A14" s="1"/>
      <c r="B14" s="1"/>
      <c r="C14" s="1"/>
      <c r="D14" s="1"/>
      <c r="E14" s="1"/>
      <c r="F14" s="46"/>
      <c r="G14" s="51" t="str">
        <f>BD!B7</f>
        <v>Unrounded</v>
      </c>
      <c r="H14" s="46"/>
    </row>
    <row r="15" spans="1:8" ht="24" customHeight="1" x14ac:dyDescent="0.3">
      <c r="A15" s="1"/>
      <c r="B15" s="2" t="str">
        <f>HYPERLINK("#'CF'!A1", "CF - Cash Flow")</f>
        <v>CF - Cash Flow</v>
      </c>
      <c r="C15" s="1"/>
      <c r="D15" s="2" t="str">
        <f>HYPERLINK("#'N6'!A1", "N6 - Other Notes")</f>
        <v>N6 - Other Notes</v>
      </c>
      <c r="E15" s="1"/>
      <c r="F15" s="1"/>
      <c r="G15" s="1"/>
      <c r="H15" s="1"/>
    </row>
    <row r="16" spans="1:8" x14ac:dyDescent="0.3">
      <c r="A16" s="1"/>
      <c r="B16" s="1"/>
      <c r="C16" s="1"/>
      <c r="D16" s="1"/>
      <c r="E16" s="1"/>
      <c r="F16" s="1"/>
      <c r="G16" s="1"/>
      <c r="H16" s="1"/>
    </row>
    <row r="17" spans="1:8" ht="24" customHeight="1" x14ac:dyDescent="0.3">
      <c r="A17" s="1"/>
      <c r="B17" s="2" t="str">
        <f>HYPERLINK("#'TX'!A1", "TX - Tax Export")</f>
        <v>TX - Tax Export</v>
      </c>
      <c r="C17" s="1"/>
      <c r="D17" s="1"/>
      <c r="E17" s="1"/>
      <c r="F17" s="1"/>
      <c r="G17" s="1"/>
      <c r="H17" s="1"/>
    </row>
    <row r="18" spans="1:8" x14ac:dyDescent="0.3">
      <c r="A18" s="1"/>
      <c r="B18" s="1"/>
      <c r="C18" s="1"/>
      <c r="D18" s="1"/>
      <c r="E18" s="1"/>
      <c r="F18" s="1"/>
      <c r="G18" s="1"/>
      <c r="H18" s="1"/>
    </row>
    <row r="19" spans="1:8" x14ac:dyDescent="0.3">
      <c r="A19" s="1"/>
      <c r="B19" s="1"/>
      <c r="C19" s="1"/>
      <c r="D19" s="1"/>
      <c r="E19" s="1"/>
      <c r="F19" s="1"/>
      <c r="G19" s="1"/>
      <c r="H19" s="1"/>
    </row>
    <row r="20" spans="1:8" x14ac:dyDescent="0.3">
      <c r="A20" s="1"/>
      <c r="B20" s="1"/>
      <c r="C20" s="1"/>
      <c r="D20" s="1"/>
      <c r="E20" s="1"/>
      <c r="F20" s="1"/>
      <c r="G20" s="1"/>
      <c r="H20" s="1"/>
    </row>
    <row r="21" spans="1:8" x14ac:dyDescent="0.3">
      <c r="A21" s="1"/>
      <c r="B21" s="1"/>
      <c r="C21" s="1"/>
      <c r="D21" s="1"/>
      <c r="E21" s="1"/>
      <c r="F21" s="1"/>
      <c r="G21" s="1"/>
      <c r="H21" s="1"/>
    </row>
    <row r="22" spans="1:8" x14ac:dyDescent="0.3">
      <c r="A22" s="1"/>
      <c r="B22" s="1"/>
      <c r="C22" s="1"/>
      <c r="D22" s="1"/>
      <c r="E22" s="1"/>
      <c r="F22" s="1"/>
      <c r="G22" s="1"/>
      <c r="H22" s="1"/>
    </row>
    <row r="23" spans="1:8" x14ac:dyDescent="0.3">
      <c r="A23" s="1"/>
      <c r="B23" s="1"/>
      <c r="C23" s="1"/>
      <c r="D23" s="1"/>
      <c r="E23" s="1"/>
      <c r="F23" s="1"/>
      <c r="G23" s="1"/>
      <c r="H23" s="1"/>
    </row>
    <row r="25" spans="1:8" ht="24" customHeight="1" x14ac:dyDescent="0.3">
      <c r="B25" s="52" t="s">
        <v>10</v>
      </c>
      <c r="C25" s="46"/>
      <c r="D25" s="46"/>
      <c r="E25" s="46"/>
      <c r="F25" s="46"/>
      <c r="G25" s="46"/>
      <c r="H25" s="46"/>
    </row>
    <row r="26" spans="1:8" ht="19.95" customHeight="1" x14ac:dyDescent="0.3">
      <c r="B26" s="47" t="s">
        <v>11</v>
      </c>
      <c r="C26" s="48"/>
      <c r="D26" s="49" t="s">
        <v>12</v>
      </c>
      <c r="E26" s="48"/>
      <c r="F26" s="48"/>
      <c r="G26" s="48"/>
      <c r="H26" s="48"/>
    </row>
    <row r="27" spans="1:8" ht="19.95" customHeight="1" x14ac:dyDescent="0.3">
      <c r="B27" s="47" t="s">
        <v>13</v>
      </c>
      <c r="C27" s="48"/>
      <c r="D27" s="49" t="s">
        <v>14</v>
      </c>
      <c r="E27" s="48"/>
      <c r="F27" s="48"/>
      <c r="G27" s="48"/>
      <c r="H27" s="48"/>
    </row>
    <row r="28" spans="1:8" ht="19.95" customHeight="1" x14ac:dyDescent="0.3">
      <c r="B28" s="47" t="s">
        <v>15</v>
      </c>
      <c r="C28" s="48"/>
      <c r="D28" s="49" t="s">
        <v>16</v>
      </c>
      <c r="E28" s="48"/>
      <c r="F28" s="48"/>
      <c r="G28" s="48"/>
      <c r="H28" s="48"/>
    </row>
    <row r="29" spans="1:8" ht="19.95" customHeight="1" x14ac:dyDescent="0.3">
      <c r="B29" s="47" t="s">
        <v>17</v>
      </c>
      <c r="C29" s="48"/>
      <c r="D29" s="49" t="s">
        <v>18</v>
      </c>
      <c r="E29" s="48"/>
      <c r="F29" s="48"/>
      <c r="G29" s="48"/>
      <c r="H29" s="48"/>
    </row>
    <row r="30" spans="1:8" ht="19.95" customHeight="1" x14ac:dyDescent="0.3">
      <c r="B30" s="47" t="s">
        <v>19</v>
      </c>
      <c r="C30" s="48"/>
      <c r="D30" s="49" t="s">
        <v>20</v>
      </c>
      <c r="E30" s="48"/>
      <c r="F30" s="48"/>
      <c r="G30" s="48"/>
      <c r="H30" s="48"/>
    </row>
  </sheetData>
  <mergeCells count="15">
    <mergeCell ref="A2:H3"/>
    <mergeCell ref="B28:C28"/>
    <mergeCell ref="D27:H27"/>
    <mergeCell ref="D28:H28"/>
    <mergeCell ref="D29:H29"/>
    <mergeCell ref="G14:H14"/>
    <mergeCell ref="B25:H25"/>
    <mergeCell ref="B27:C27"/>
    <mergeCell ref="G13:H13"/>
    <mergeCell ref="D26:H26"/>
    <mergeCell ref="F13:F14"/>
    <mergeCell ref="B30:C30"/>
    <mergeCell ref="D30:H30"/>
    <mergeCell ref="B29:C29"/>
    <mergeCell ref="B26:C26"/>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ToggleToolbar">
                <anchor moveWithCells="1" sizeWithCells="1">
                  <from>
                    <xdr:col>5</xdr:col>
                    <xdr:colOff>60960</xdr:colOff>
                    <xdr:row>14</xdr:row>
                    <xdr:rowOff>0</xdr:rowOff>
                  </from>
                  <to>
                    <xdr:col>5</xdr:col>
                    <xdr:colOff>1303020</xdr:colOff>
                    <xdr:row>16</xdr:row>
                    <xdr:rowOff>60960</xdr:rowOff>
                  </to>
                </anchor>
              </controlPr>
            </control>
          </mc:Choice>
        </mc:AlternateContent>
        <mc:AlternateContent xmlns:mc="http://schemas.openxmlformats.org/markup-compatibility/2006">
          <mc:Choice Requires="x14">
            <control shapeId="1026" r:id="rId4" name="Button 2">
              <controlPr defaultSize="0" print="0" autoFill="0" autoPict="0" macro="ImportTrialBalance">
                <anchor moveWithCells="1" sizeWithCells="1">
                  <from>
                    <xdr:col>6</xdr:col>
                    <xdr:colOff>60960</xdr:colOff>
                    <xdr:row>14</xdr:row>
                    <xdr:rowOff>0</xdr:rowOff>
                  </from>
                  <to>
                    <xdr:col>6</xdr:col>
                    <xdr:colOff>1303020</xdr:colOff>
                    <xdr:row>16</xdr:row>
                    <xdr:rowOff>60960</xdr:rowOff>
                  </to>
                </anchor>
              </controlPr>
            </control>
          </mc:Choice>
        </mc:AlternateContent>
        <mc:AlternateContent xmlns:mc="http://schemas.openxmlformats.org/markup-compatibility/2006">
          <mc:Choice Requires="x14">
            <control shapeId="1027" r:id="rId5" name="Button 3">
              <controlPr defaultSize="0" print="0" autoFill="0" autoPict="0" macro="ExportStatementsToPDF">
                <anchor moveWithCells="1" sizeWithCells="1">
                  <from>
                    <xdr:col>7</xdr:col>
                    <xdr:colOff>60960</xdr:colOff>
                    <xdr:row>14</xdr:row>
                    <xdr:rowOff>0</xdr:rowOff>
                  </from>
                  <to>
                    <xdr:col>7</xdr:col>
                    <xdr:colOff>1303020</xdr:colOff>
                    <xdr:row>16</xdr:row>
                    <xdr:rowOff>60960</xdr:rowOff>
                  </to>
                </anchor>
              </controlPr>
            </control>
          </mc:Choice>
        </mc:AlternateContent>
        <mc:AlternateContent xmlns:mc="http://schemas.openxmlformats.org/markup-compatibility/2006">
          <mc:Choice Requires="x14">
            <control shapeId="1028" r:id="rId6" name="Button 4">
              <controlPr defaultSize="0" print="0" autoFill="0" autoPict="0" macro="RollForwardYear">
                <anchor moveWithCells="1" sizeWithCells="1">
                  <from>
                    <xdr:col>6</xdr:col>
                    <xdr:colOff>60960</xdr:colOff>
                    <xdr:row>17</xdr:row>
                    <xdr:rowOff>0</xdr:rowOff>
                  </from>
                  <to>
                    <xdr:col>7</xdr:col>
                    <xdr:colOff>746760</xdr:colOff>
                    <xdr:row>18</xdr:row>
                    <xdr:rowOff>144780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9"/>
  <sheetViews>
    <sheetView workbookViewId="0"/>
  </sheetViews>
  <sheetFormatPr defaultRowHeight="14.4" x14ac:dyDescent="0.3"/>
  <cols>
    <col min="1" max="1" width="20" customWidth="1"/>
    <col min="2" max="2" width="30" customWidth="1"/>
  </cols>
  <sheetData>
    <row r="1" spans="1:2" x14ac:dyDescent="0.3">
      <c r="A1" s="7" t="str">
        <f>HYPERLINK("#Home!A1", "&lt;- Go to Dashboard")</f>
        <v>&lt;- Go to Dashboard</v>
      </c>
    </row>
    <row r="3" spans="1:2" x14ac:dyDescent="0.3">
      <c r="A3" s="8" t="s">
        <v>21</v>
      </c>
      <c r="B3" s="6" t="s">
        <v>22</v>
      </c>
    </row>
    <row r="4" spans="1:2" x14ac:dyDescent="0.3">
      <c r="A4" s="8" t="s">
        <v>23</v>
      </c>
      <c r="B4" s="6" t="s">
        <v>24</v>
      </c>
    </row>
    <row r="5" spans="1:2" x14ac:dyDescent="0.3">
      <c r="A5" s="8" t="s">
        <v>5</v>
      </c>
      <c r="B5" s="6" t="s">
        <v>25</v>
      </c>
    </row>
    <row r="6" spans="1:2" x14ac:dyDescent="0.3">
      <c r="A6" s="8" t="s">
        <v>26</v>
      </c>
      <c r="B6" s="6" t="s">
        <v>27</v>
      </c>
    </row>
    <row r="7" spans="1:2" x14ac:dyDescent="0.3">
      <c r="A7" s="8" t="s">
        <v>28</v>
      </c>
      <c r="B7" s="6" t="s">
        <v>29</v>
      </c>
    </row>
    <row r="8" spans="1:2" x14ac:dyDescent="0.3">
      <c r="A8" s="8" t="s">
        <v>30</v>
      </c>
      <c r="B8" s="6">
        <f>IF(B7="Thousands", 1000, IF(B7="Lakhs", 100000, IF(B7="Crores", 10000000, 1)))</f>
        <v>1</v>
      </c>
    </row>
    <row r="9" spans="1:2" x14ac:dyDescent="0.3">
      <c r="A9" s="8" t="s">
        <v>31</v>
      </c>
      <c r="B9" s="6" t="s">
        <v>32</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8"/>
  <sheetViews>
    <sheetView workbookViewId="0"/>
  </sheetViews>
  <sheetFormatPr defaultRowHeight="14.4" x14ac:dyDescent="0.3"/>
  <cols>
    <col min="1" max="1" width="10" customWidth="1"/>
    <col min="2" max="2" width="25" customWidth="1"/>
    <col min="3" max="11" width="14" customWidth="1"/>
    <col min="12" max="12" width="12" customWidth="1"/>
    <col min="13" max="13" width="22" customWidth="1"/>
    <col min="14" max="14" width="24" customWidth="1"/>
    <col min="15" max="15" width="10" customWidth="1"/>
  </cols>
  <sheetData>
    <row r="1" spans="1:15" x14ac:dyDescent="0.3">
      <c r="A1" s="7" t="str">
        <f>HYPERLINK("#Home!A1", "&lt;- Go to Dashboard")</f>
        <v>&lt;- Go to Dashboard</v>
      </c>
    </row>
    <row r="2" spans="1:15" ht="22.05" customHeight="1" x14ac:dyDescent="0.3">
      <c r="A2" s="54" t="s">
        <v>33</v>
      </c>
      <c r="B2" s="46"/>
      <c r="C2" s="46"/>
      <c r="D2" s="46"/>
      <c r="E2" s="46"/>
      <c r="F2" s="46"/>
      <c r="G2" s="46"/>
      <c r="H2" s="46"/>
      <c r="I2" s="46"/>
      <c r="J2" s="46"/>
      <c r="K2" s="46"/>
      <c r="L2" s="46"/>
      <c r="M2" s="46"/>
      <c r="N2" s="46"/>
      <c r="O2" s="46"/>
    </row>
    <row r="4" spans="1:15" ht="19.95" customHeight="1" x14ac:dyDescent="0.3">
      <c r="C4" s="55" t="s">
        <v>34</v>
      </c>
      <c r="D4" s="46"/>
      <c r="E4" s="46"/>
      <c r="F4" s="55" t="s">
        <v>35</v>
      </c>
      <c r="G4" s="46"/>
      <c r="H4" s="46"/>
      <c r="I4" s="55" t="s">
        <v>36</v>
      </c>
      <c r="J4" s="46"/>
      <c r="K4" s="46"/>
      <c r="L4" s="55" t="s">
        <v>37</v>
      </c>
      <c r="M4" s="46"/>
      <c r="N4" s="46"/>
      <c r="O4" s="46"/>
    </row>
    <row r="5" spans="1:15" ht="22.05" customHeight="1" x14ac:dyDescent="0.3">
      <c r="A5" s="9" t="s">
        <v>38</v>
      </c>
      <c r="B5" s="9" t="s">
        <v>39</v>
      </c>
      <c r="C5" s="10" t="s">
        <v>40</v>
      </c>
      <c r="D5" s="10" t="s">
        <v>41</v>
      </c>
      <c r="E5" s="10" t="s">
        <v>42</v>
      </c>
      <c r="F5" s="10" t="s">
        <v>40</v>
      </c>
      <c r="G5" s="10" t="s">
        <v>41</v>
      </c>
      <c r="H5" s="10" t="s">
        <v>42</v>
      </c>
      <c r="I5" s="10" t="s">
        <v>40</v>
      </c>
      <c r="J5" s="10" t="s">
        <v>41</v>
      </c>
      <c r="K5" s="10" t="s">
        <v>42</v>
      </c>
      <c r="L5" s="10" t="s">
        <v>43</v>
      </c>
      <c r="M5" s="10" t="s">
        <v>44</v>
      </c>
      <c r="N5" s="10" t="s">
        <v>45</v>
      </c>
      <c r="O5" s="10" t="s">
        <v>46</v>
      </c>
    </row>
    <row r="6" spans="1:15" ht="19.95" customHeight="1" x14ac:dyDescent="0.3">
      <c r="A6" s="11" t="s">
        <v>47</v>
      </c>
      <c r="B6" s="11" t="s">
        <v>48</v>
      </c>
      <c r="C6" s="12">
        <v>0</v>
      </c>
      <c r="D6" s="12">
        <v>0</v>
      </c>
      <c r="E6" s="12">
        <f t="shared" ref="E6:E17" si="0">C6+D6</f>
        <v>0</v>
      </c>
      <c r="F6" s="12">
        <v>-250000</v>
      </c>
      <c r="G6" s="12">
        <v>0</v>
      </c>
      <c r="H6" s="12">
        <f t="shared" ref="H6:H17" si="1">F6+G6</f>
        <v>-250000</v>
      </c>
      <c r="I6" s="12">
        <v>-500000</v>
      </c>
      <c r="J6" s="12">
        <f>SUMIFS(AE!$C$6:$C$55, AE!$A$6:$A$55, A6) - SUMIFS(AE!$D$6:$D$55, AE!$A$6:$A$55, A6)</f>
        <v>0</v>
      </c>
      <c r="K6" s="12">
        <f t="shared" ref="K6:K17" si="2">I6+J6</f>
        <v>-500000</v>
      </c>
      <c r="L6" s="11" t="s">
        <v>49</v>
      </c>
      <c r="M6" s="11" t="s">
        <v>50</v>
      </c>
      <c r="N6" s="11" t="s">
        <v>51</v>
      </c>
      <c r="O6" s="11" t="str">
        <f>IFERROR(INDEX('Chart of Accounts'!$A$4:$A$100, MATCH(N6, 'Chart of Accounts'!$B$4:$B$100, 0)), "")</f>
        <v>1.1.1</v>
      </c>
    </row>
    <row r="7" spans="1:15" ht="19.95" customHeight="1" x14ac:dyDescent="0.3">
      <c r="A7" s="11" t="s">
        <v>52</v>
      </c>
      <c r="B7" s="11" t="s">
        <v>53</v>
      </c>
      <c r="C7" s="12">
        <v>0</v>
      </c>
      <c r="D7" s="12">
        <v>0</v>
      </c>
      <c r="E7" s="12">
        <f t="shared" si="0"/>
        <v>0</v>
      </c>
      <c r="F7" s="12">
        <v>0</v>
      </c>
      <c r="G7" s="12">
        <v>0</v>
      </c>
      <c r="H7" s="12">
        <f t="shared" si="1"/>
        <v>0</v>
      </c>
      <c r="I7" s="12">
        <v>-107500</v>
      </c>
      <c r="J7" s="12">
        <f>SUMIFS(AE!$C$6:$C$55, AE!$A$6:$A$55, A7) - SUMIFS(AE!$D$6:$D$55, AE!$A$6:$A$55, A7)</f>
        <v>0</v>
      </c>
      <c r="K7" s="12">
        <f t="shared" si="2"/>
        <v>-107500</v>
      </c>
      <c r="L7" s="11" t="s">
        <v>49</v>
      </c>
      <c r="M7" s="11" t="s">
        <v>50</v>
      </c>
      <c r="N7" s="11" t="s">
        <v>54</v>
      </c>
      <c r="O7" s="11" t="str">
        <f>IFERROR(INDEX('Chart of Accounts'!$A$4:$A$100, MATCH(N7, 'Chart of Accounts'!$B$4:$B$100, 0)), "")</f>
        <v>1.1.2</v>
      </c>
    </row>
    <row r="8" spans="1:15" ht="19.95" customHeight="1" x14ac:dyDescent="0.3">
      <c r="A8" s="11" t="s">
        <v>55</v>
      </c>
      <c r="B8" s="11" t="s">
        <v>56</v>
      </c>
      <c r="C8" s="12">
        <v>0</v>
      </c>
      <c r="D8" s="12">
        <v>0</v>
      </c>
      <c r="E8" s="12">
        <f t="shared" si="0"/>
        <v>0</v>
      </c>
      <c r="F8" s="12">
        <v>-100000</v>
      </c>
      <c r="G8" s="12">
        <v>0</v>
      </c>
      <c r="H8" s="12">
        <f t="shared" si="1"/>
        <v>-100000</v>
      </c>
      <c r="I8" s="12">
        <v>-200000</v>
      </c>
      <c r="J8" s="12">
        <f>SUMIFS(AE!$C$6:$C$55, AE!$A$6:$A$55, A8) - SUMIFS(AE!$D$6:$D$55, AE!$A$6:$A$55, A8)</f>
        <v>0</v>
      </c>
      <c r="K8" s="12">
        <f t="shared" si="2"/>
        <v>-200000</v>
      </c>
      <c r="L8" s="11" t="s">
        <v>57</v>
      </c>
      <c r="M8" s="11" t="s">
        <v>58</v>
      </c>
      <c r="N8" s="11" t="s">
        <v>59</v>
      </c>
      <c r="O8" s="11" t="str">
        <f>IFERROR(INDEX('Chart of Accounts'!$A$4:$A$100, MATCH(N8, 'Chart of Accounts'!$B$4:$B$100, 0)), "")</f>
        <v>1.2.1</v>
      </c>
    </row>
    <row r="9" spans="1:15" ht="19.95" customHeight="1" x14ac:dyDescent="0.3">
      <c r="A9" s="11" t="s">
        <v>60</v>
      </c>
      <c r="B9" s="11" t="s">
        <v>61</v>
      </c>
      <c r="C9" s="12">
        <v>0</v>
      </c>
      <c r="D9" s="12">
        <v>0</v>
      </c>
      <c r="E9" s="12">
        <f t="shared" si="0"/>
        <v>0</v>
      </c>
      <c r="F9" s="12">
        <v>-40000</v>
      </c>
      <c r="G9" s="12">
        <v>0</v>
      </c>
      <c r="H9" s="12">
        <f t="shared" si="1"/>
        <v>-40000</v>
      </c>
      <c r="I9" s="12">
        <v>-80000</v>
      </c>
      <c r="J9" s="12">
        <f>SUMIFS(AE!$C$6:$C$55, AE!$A$6:$A$55, A9) - SUMIFS(AE!$D$6:$D$55, AE!$A$6:$A$55, A9)</f>
        <v>0</v>
      </c>
      <c r="K9" s="12">
        <f t="shared" si="2"/>
        <v>-80000</v>
      </c>
      <c r="L9" s="11" t="s">
        <v>57</v>
      </c>
      <c r="M9" s="11" t="s">
        <v>62</v>
      </c>
      <c r="N9" s="11" t="s">
        <v>63</v>
      </c>
      <c r="O9" s="11" t="str">
        <f>IFERROR(INDEX('Chart of Accounts'!$A$4:$A$100, MATCH(N9, 'Chart of Accounts'!$B$4:$B$100, 0)), "")</f>
        <v>1.3.2</v>
      </c>
    </row>
    <row r="10" spans="1:15" ht="19.95" customHeight="1" x14ac:dyDescent="0.3">
      <c r="A10" s="11" t="s">
        <v>64</v>
      </c>
      <c r="B10" s="11" t="s">
        <v>65</v>
      </c>
      <c r="C10" s="12">
        <v>0</v>
      </c>
      <c r="D10" s="12">
        <v>0</v>
      </c>
      <c r="E10" s="12">
        <f t="shared" si="0"/>
        <v>0</v>
      </c>
      <c r="F10" s="12">
        <v>200000</v>
      </c>
      <c r="G10" s="12">
        <v>0</v>
      </c>
      <c r="H10" s="12">
        <f t="shared" si="1"/>
        <v>200000</v>
      </c>
      <c r="I10" s="12">
        <v>400000</v>
      </c>
      <c r="J10" s="12">
        <f>SUMIFS(AE!$C$6:$C$55, AE!$A$6:$A$55, A10) - SUMIFS(AE!$D$6:$D$55, AE!$A$6:$A$55, A10)</f>
        <v>0</v>
      </c>
      <c r="K10" s="12">
        <f t="shared" si="2"/>
        <v>400000</v>
      </c>
      <c r="L10" s="11" t="s">
        <v>66</v>
      </c>
      <c r="M10" s="11" t="s">
        <v>67</v>
      </c>
      <c r="N10" s="11" t="s">
        <v>68</v>
      </c>
      <c r="O10" s="11" t="str">
        <f>IFERROR(INDEX('Chart of Accounts'!$A$4:$A$100, MATCH(N10, 'Chart of Accounts'!$B$4:$B$100, 0)), "")</f>
        <v>2.1.1.1</v>
      </c>
    </row>
    <row r="11" spans="1:15" ht="19.95" customHeight="1" x14ac:dyDescent="0.3">
      <c r="A11" s="11" t="s">
        <v>69</v>
      </c>
      <c r="B11" s="11" t="s">
        <v>70</v>
      </c>
      <c r="C11" s="12">
        <v>0</v>
      </c>
      <c r="D11" s="12">
        <v>0</v>
      </c>
      <c r="E11" s="12">
        <f t="shared" si="0"/>
        <v>0</v>
      </c>
      <c r="F11" s="12">
        <v>227500</v>
      </c>
      <c r="G11" s="12">
        <v>0</v>
      </c>
      <c r="H11" s="12">
        <f t="shared" si="1"/>
        <v>227500</v>
      </c>
      <c r="I11" s="12">
        <v>562500</v>
      </c>
      <c r="J11" s="12">
        <f>SUMIFS(AE!$C$6:$C$55, AE!$A$6:$A$55, A11) - SUMIFS(AE!$D$6:$D$55, AE!$A$6:$A$55, A11)</f>
        <v>0</v>
      </c>
      <c r="K11" s="12">
        <f t="shared" si="2"/>
        <v>562500</v>
      </c>
      <c r="L11" s="11" t="s">
        <v>66</v>
      </c>
      <c r="M11" s="11" t="s">
        <v>71</v>
      </c>
      <c r="N11" s="11" t="s">
        <v>72</v>
      </c>
      <c r="O11" s="11" t="str">
        <f>IFERROR(INDEX('Chart of Accounts'!$A$4:$A$100, MATCH(N11, 'Chart of Accounts'!$B$4:$B$100, 0)), "")</f>
        <v>2.2.4</v>
      </c>
    </row>
    <row r="12" spans="1:15" ht="19.95" customHeight="1" x14ac:dyDescent="0.3">
      <c r="A12" s="11" t="s">
        <v>73</v>
      </c>
      <c r="B12" s="11" t="s">
        <v>74</v>
      </c>
      <c r="C12" s="12">
        <v>0</v>
      </c>
      <c r="D12" s="12">
        <v>0</v>
      </c>
      <c r="E12" s="12">
        <f t="shared" si="0"/>
        <v>0</v>
      </c>
      <c r="F12" s="12">
        <v>30000</v>
      </c>
      <c r="G12" s="12">
        <v>0</v>
      </c>
      <c r="H12" s="12">
        <f t="shared" si="1"/>
        <v>30000</v>
      </c>
      <c r="I12" s="12">
        <v>60000</v>
      </c>
      <c r="J12" s="12">
        <f>SUMIFS(AE!$C$6:$C$55, AE!$A$6:$A$55, A12) - SUMIFS(AE!$D$6:$D$55, AE!$A$6:$A$55, A12)</f>
        <v>0</v>
      </c>
      <c r="K12" s="12">
        <f t="shared" si="2"/>
        <v>60000</v>
      </c>
      <c r="L12" s="11" t="s">
        <v>66</v>
      </c>
      <c r="M12" s="11" t="s">
        <v>71</v>
      </c>
      <c r="N12" s="11" t="s">
        <v>75</v>
      </c>
      <c r="O12" s="11" t="str">
        <f>IFERROR(INDEX('Chart of Accounts'!$A$4:$A$100, MATCH(N12, 'Chart of Accounts'!$B$4:$B$100, 0)), "")</f>
        <v>2.2.3</v>
      </c>
    </row>
    <row r="13" spans="1:15" ht="19.95" customHeight="1" x14ac:dyDescent="0.3">
      <c r="A13" s="11" t="s">
        <v>76</v>
      </c>
      <c r="B13" s="11" t="s">
        <v>77</v>
      </c>
      <c r="C13" s="12">
        <v>0</v>
      </c>
      <c r="D13" s="12">
        <v>0</v>
      </c>
      <c r="E13" s="12">
        <f t="shared" si="0"/>
        <v>0</v>
      </c>
      <c r="F13" s="12">
        <v>40000</v>
      </c>
      <c r="G13" s="12">
        <v>0</v>
      </c>
      <c r="H13" s="12">
        <f t="shared" si="1"/>
        <v>40000</v>
      </c>
      <c r="I13" s="12">
        <v>80000</v>
      </c>
      <c r="J13" s="12">
        <f>SUMIFS(AE!$C$6:$C$55, AE!$A$6:$A$55, A13) - SUMIFS(AE!$D$6:$D$55, AE!$A$6:$A$55, A13)</f>
        <v>0</v>
      </c>
      <c r="K13" s="12">
        <f t="shared" si="2"/>
        <v>80000</v>
      </c>
      <c r="L13" s="11" t="s">
        <v>66</v>
      </c>
      <c r="M13" s="11" t="s">
        <v>71</v>
      </c>
      <c r="N13" s="11" t="s">
        <v>78</v>
      </c>
      <c r="O13" s="11" t="str">
        <f>IFERROR(INDEX('Chart of Accounts'!$A$4:$A$100, MATCH(N13, 'Chart of Accounts'!$B$4:$B$100, 0)), "")</f>
        <v>2.2.2</v>
      </c>
    </row>
    <row r="14" spans="1:15" ht="19.95" customHeight="1" x14ac:dyDescent="0.3">
      <c r="A14" s="11" t="s">
        <v>79</v>
      </c>
      <c r="B14" s="11" t="s">
        <v>80</v>
      </c>
      <c r="C14" s="12">
        <v>0</v>
      </c>
      <c r="D14" s="12">
        <v>0</v>
      </c>
      <c r="E14" s="12">
        <f t="shared" si="0"/>
        <v>0</v>
      </c>
      <c r="F14" s="12">
        <v>-200000</v>
      </c>
      <c r="G14" s="12">
        <v>0</v>
      </c>
      <c r="H14" s="12">
        <f t="shared" si="1"/>
        <v>-200000</v>
      </c>
      <c r="I14" s="12">
        <v>-400000</v>
      </c>
      <c r="J14" s="12">
        <f>SUMIFS(AE!$C$6:$C$55, AE!$A$6:$A$55, A14) - SUMIFS(AE!$D$6:$D$55, AE!$A$6:$A$55, A14)</f>
        <v>0</v>
      </c>
      <c r="K14" s="12">
        <f t="shared" si="2"/>
        <v>-400000</v>
      </c>
      <c r="L14" s="11" t="s">
        <v>81</v>
      </c>
      <c r="M14" s="11" t="s">
        <v>82</v>
      </c>
      <c r="N14" s="11" t="s">
        <v>83</v>
      </c>
      <c r="O14" s="11" t="str">
        <f>IFERROR(INDEX('Chart of Accounts'!$A$4:$A$100, MATCH(N14, 'Chart of Accounts'!$B$4:$B$100, 0)), "")</f>
        <v>3.1</v>
      </c>
    </row>
    <row r="15" spans="1:15" ht="19.95" customHeight="1" x14ac:dyDescent="0.3">
      <c r="A15" s="11" t="s">
        <v>84</v>
      </c>
      <c r="B15" s="11" t="s">
        <v>85</v>
      </c>
      <c r="C15" s="12">
        <v>0</v>
      </c>
      <c r="D15" s="12">
        <v>0</v>
      </c>
      <c r="E15" s="12">
        <f t="shared" si="0"/>
        <v>0</v>
      </c>
      <c r="F15" s="12">
        <v>75000</v>
      </c>
      <c r="G15" s="12">
        <v>0</v>
      </c>
      <c r="H15" s="12">
        <f t="shared" si="1"/>
        <v>75000</v>
      </c>
      <c r="I15" s="12">
        <v>150000</v>
      </c>
      <c r="J15" s="12">
        <f>SUMIFS(AE!$C$6:$C$55, AE!$A$6:$A$55, A15) - SUMIFS(AE!$D$6:$D$55, AE!$A$6:$A$55, A15)</f>
        <v>0</v>
      </c>
      <c r="K15" s="12">
        <f t="shared" si="2"/>
        <v>150000</v>
      </c>
      <c r="L15" s="11" t="s">
        <v>86</v>
      </c>
      <c r="M15" s="11" t="s">
        <v>87</v>
      </c>
      <c r="N15" s="11" t="s">
        <v>88</v>
      </c>
      <c r="O15" s="11" t="str">
        <f>IFERROR(INDEX('Chart of Accounts'!$A$4:$A$100, MATCH(N15, 'Chart of Accounts'!$B$4:$B$100, 0)), "")</f>
        <v>4.3</v>
      </c>
    </row>
    <row r="16" spans="1:15" ht="19.95" customHeight="1" x14ac:dyDescent="0.3">
      <c r="A16" s="11" t="s">
        <v>89</v>
      </c>
      <c r="B16" s="11" t="s">
        <v>90</v>
      </c>
      <c r="C16" s="12">
        <v>0</v>
      </c>
      <c r="D16" s="12">
        <v>0</v>
      </c>
      <c r="E16" s="12">
        <f t="shared" si="0"/>
        <v>0</v>
      </c>
      <c r="F16" s="12">
        <v>7500</v>
      </c>
      <c r="G16" s="12">
        <v>0</v>
      </c>
      <c r="H16" s="12">
        <f t="shared" si="1"/>
        <v>7500</v>
      </c>
      <c r="I16" s="12">
        <v>15000</v>
      </c>
      <c r="J16" s="12">
        <f>SUMIFS(AE!$C$6:$C$55, AE!$A$6:$A$55, A16) - SUMIFS(AE!$D$6:$D$55, AE!$A$6:$A$55, A16)</f>
        <v>0</v>
      </c>
      <c r="K16" s="12">
        <f t="shared" si="2"/>
        <v>15000</v>
      </c>
      <c r="L16" s="11" t="s">
        <v>86</v>
      </c>
      <c r="M16" s="11" t="s">
        <v>87</v>
      </c>
      <c r="N16" s="11" t="s">
        <v>91</v>
      </c>
      <c r="O16" s="11" t="str">
        <f>IFERROR(INDEX('Chart of Accounts'!$A$4:$A$100, MATCH(N16, 'Chart of Accounts'!$B$4:$B$100, 0)), "")</f>
        <v>4.4</v>
      </c>
    </row>
    <row r="17" spans="1:15" ht="19.95" customHeight="1" x14ac:dyDescent="0.3">
      <c r="A17" s="11" t="s">
        <v>92</v>
      </c>
      <c r="B17" s="11" t="s">
        <v>93</v>
      </c>
      <c r="C17" s="12">
        <v>0</v>
      </c>
      <c r="D17" s="12">
        <v>0</v>
      </c>
      <c r="E17" s="12">
        <f t="shared" si="0"/>
        <v>0</v>
      </c>
      <c r="F17" s="12">
        <v>10000</v>
      </c>
      <c r="G17" s="12">
        <v>0</v>
      </c>
      <c r="H17" s="12">
        <f t="shared" si="1"/>
        <v>10000</v>
      </c>
      <c r="I17" s="12">
        <v>20000</v>
      </c>
      <c r="J17" s="12">
        <f>SUMIFS(AE!$C$6:$C$55, AE!$A$6:$A$55, A17) - SUMIFS(AE!$D$6:$D$55, AE!$A$6:$A$55, A17)</f>
        <v>0</v>
      </c>
      <c r="K17" s="12">
        <f t="shared" si="2"/>
        <v>20000</v>
      </c>
      <c r="L17" s="11" t="s">
        <v>86</v>
      </c>
      <c r="M17" s="11" t="s">
        <v>87</v>
      </c>
      <c r="N17" s="11" t="s">
        <v>94</v>
      </c>
      <c r="O17" s="11" t="str">
        <f>IFERROR(INDEX('Chart of Accounts'!$A$4:$A$100, MATCH(N17, 'Chart of Accounts'!$B$4:$B$100, 0)), "")</f>
        <v>4.6</v>
      </c>
    </row>
    <row r="18" spans="1:15" ht="22.05" customHeight="1" x14ac:dyDescent="0.3">
      <c r="A18" s="13" t="s">
        <v>95</v>
      </c>
      <c r="B18" s="14"/>
      <c r="C18" s="15">
        <f t="shared" ref="C18:K18" si="3">SUM(C6:C17)</f>
        <v>0</v>
      </c>
      <c r="D18" s="15">
        <f t="shared" si="3"/>
        <v>0</v>
      </c>
      <c r="E18" s="15">
        <f t="shared" si="3"/>
        <v>0</v>
      </c>
      <c r="F18" s="15">
        <f t="shared" si="3"/>
        <v>0</v>
      </c>
      <c r="G18" s="15">
        <f t="shared" si="3"/>
        <v>0</v>
      </c>
      <c r="H18" s="15">
        <f t="shared" si="3"/>
        <v>0</v>
      </c>
      <c r="I18" s="15">
        <f t="shared" si="3"/>
        <v>0</v>
      </c>
      <c r="J18" s="15">
        <f t="shared" si="3"/>
        <v>0</v>
      </c>
      <c r="K18" s="15">
        <f t="shared" si="3"/>
        <v>0</v>
      </c>
      <c r="L18" s="14"/>
      <c r="M18" s="14"/>
      <c r="N18" s="14"/>
      <c r="O18" s="14"/>
    </row>
  </sheetData>
  <mergeCells count="5">
    <mergeCell ref="A2:O2"/>
    <mergeCell ref="L4:O4"/>
    <mergeCell ref="C4:E4"/>
    <mergeCell ref="F4:H4"/>
    <mergeCell ref="I4:K4"/>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55"/>
  <sheetViews>
    <sheetView workbookViewId="0"/>
  </sheetViews>
  <sheetFormatPr defaultRowHeight="14.4" x14ac:dyDescent="0.3"/>
  <sheetData>
    <row r="1" spans="1:5" x14ac:dyDescent="0.3">
      <c r="A1" s="7" t="str">
        <f>HYPERLINK("#Home!A1", "&lt;- Go to Dashboard")</f>
        <v>&lt;- Go to Dashboard</v>
      </c>
    </row>
    <row r="3" spans="1:5" ht="18" x14ac:dyDescent="0.35">
      <c r="A3" s="16" t="s">
        <v>96</v>
      </c>
    </row>
    <row r="5" spans="1:5" x14ac:dyDescent="0.3">
      <c r="A5" s="17" t="s">
        <v>38</v>
      </c>
      <c r="B5" s="17" t="s">
        <v>39</v>
      </c>
      <c r="C5" s="17" t="s">
        <v>97</v>
      </c>
      <c r="D5" s="17" t="s">
        <v>98</v>
      </c>
      <c r="E5" s="17" t="s">
        <v>99</v>
      </c>
    </row>
    <row r="6" spans="1:5" x14ac:dyDescent="0.3">
      <c r="A6" s="6"/>
      <c r="B6" s="6" t="str">
        <f>IF(ISBLANK(A6), "", IFERROR(VLOOKUP(A6, TB!$A:$B, 2, FALSE), "Invalid GL"))</f>
        <v/>
      </c>
      <c r="C6" s="18"/>
      <c r="D6" s="18"/>
      <c r="E6" s="6"/>
    </row>
    <row r="7" spans="1:5" x14ac:dyDescent="0.3">
      <c r="A7" s="6"/>
      <c r="B7" s="6" t="str">
        <f>IF(ISBLANK(A7), "", IFERROR(VLOOKUP(A7, TB!$A:$B, 2, FALSE), "Invalid GL"))</f>
        <v/>
      </c>
      <c r="C7" s="18"/>
      <c r="D7" s="18"/>
      <c r="E7" s="6"/>
    </row>
    <row r="8" spans="1:5" x14ac:dyDescent="0.3">
      <c r="A8" s="6"/>
      <c r="B8" s="6" t="str">
        <f>IF(ISBLANK(A8), "", IFERROR(VLOOKUP(A8, TB!$A:$B, 2, FALSE), "Invalid GL"))</f>
        <v/>
      </c>
      <c r="C8" s="18"/>
      <c r="D8" s="18"/>
      <c r="E8" s="6"/>
    </row>
    <row r="9" spans="1:5" x14ac:dyDescent="0.3">
      <c r="A9" s="6"/>
      <c r="B9" s="6" t="str">
        <f>IF(ISBLANK(A9), "", IFERROR(VLOOKUP(A9, TB!$A:$B, 2, FALSE), "Invalid GL"))</f>
        <v/>
      </c>
      <c r="C9" s="18"/>
      <c r="D9" s="18"/>
      <c r="E9" s="6"/>
    </row>
    <row r="10" spans="1:5" x14ac:dyDescent="0.3">
      <c r="A10" s="6"/>
      <c r="B10" s="6" t="str">
        <f>IF(ISBLANK(A10), "", IFERROR(VLOOKUP(A10, TB!$A:$B, 2, FALSE), "Invalid GL"))</f>
        <v/>
      </c>
      <c r="C10" s="18"/>
      <c r="D10" s="18"/>
      <c r="E10" s="6"/>
    </row>
    <row r="11" spans="1:5" x14ac:dyDescent="0.3">
      <c r="A11" s="6"/>
      <c r="B11" s="6" t="str">
        <f>IF(ISBLANK(A11), "", IFERROR(VLOOKUP(A11, TB!$A:$B, 2, FALSE), "Invalid GL"))</f>
        <v/>
      </c>
      <c r="C11" s="18"/>
      <c r="D11" s="18"/>
      <c r="E11" s="6"/>
    </row>
    <row r="12" spans="1:5" x14ac:dyDescent="0.3">
      <c r="A12" s="6"/>
      <c r="B12" s="6" t="str">
        <f>IF(ISBLANK(A12), "", IFERROR(VLOOKUP(A12, TB!$A:$B, 2, FALSE), "Invalid GL"))</f>
        <v/>
      </c>
      <c r="C12" s="18"/>
      <c r="D12" s="18"/>
      <c r="E12" s="6"/>
    </row>
    <row r="13" spans="1:5" x14ac:dyDescent="0.3">
      <c r="A13" s="6"/>
      <c r="B13" s="6" t="str">
        <f>IF(ISBLANK(A13), "", IFERROR(VLOOKUP(A13, TB!$A:$B, 2, FALSE), "Invalid GL"))</f>
        <v/>
      </c>
      <c r="C13" s="18"/>
      <c r="D13" s="18"/>
      <c r="E13" s="6"/>
    </row>
    <row r="14" spans="1:5" x14ac:dyDescent="0.3">
      <c r="A14" s="6"/>
      <c r="B14" s="6" t="str">
        <f>IF(ISBLANK(A14), "", IFERROR(VLOOKUP(A14, TB!$A:$B, 2, FALSE), "Invalid GL"))</f>
        <v/>
      </c>
      <c r="C14" s="18"/>
      <c r="D14" s="18"/>
      <c r="E14" s="6"/>
    </row>
    <row r="15" spans="1:5" x14ac:dyDescent="0.3">
      <c r="A15" s="6"/>
      <c r="B15" s="6" t="str">
        <f>IF(ISBLANK(A15), "", IFERROR(VLOOKUP(A15, TB!$A:$B, 2, FALSE), "Invalid GL"))</f>
        <v/>
      </c>
      <c r="C15" s="18"/>
      <c r="D15" s="18"/>
      <c r="E15" s="6"/>
    </row>
    <row r="16" spans="1:5" x14ac:dyDescent="0.3">
      <c r="A16" s="6"/>
      <c r="B16" s="6" t="str">
        <f>IF(ISBLANK(A16), "", IFERROR(VLOOKUP(A16, TB!$A:$B, 2, FALSE), "Invalid GL"))</f>
        <v/>
      </c>
      <c r="C16" s="18"/>
      <c r="D16" s="18"/>
      <c r="E16" s="6"/>
    </row>
    <row r="17" spans="1:5" x14ac:dyDescent="0.3">
      <c r="A17" s="6"/>
      <c r="B17" s="6" t="str">
        <f>IF(ISBLANK(A17), "", IFERROR(VLOOKUP(A17, TB!$A:$B, 2, FALSE), "Invalid GL"))</f>
        <v/>
      </c>
      <c r="C17" s="18"/>
      <c r="D17" s="18"/>
      <c r="E17" s="6"/>
    </row>
    <row r="18" spans="1:5" x14ac:dyDescent="0.3">
      <c r="A18" s="6"/>
      <c r="B18" s="6" t="str">
        <f>IF(ISBLANK(A18), "", IFERROR(VLOOKUP(A18, TB!$A:$B, 2, FALSE), "Invalid GL"))</f>
        <v/>
      </c>
      <c r="C18" s="18"/>
      <c r="D18" s="18"/>
      <c r="E18" s="6"/>
    </row>
    <row r="19" spans="1:5" x14ac:dyDescent="0.3">
      <c r="A19" s="6"/>
      <c r="B19" s="6" t="str">
        <f>IF(ISBLANK(A19), "", IFERROR(VLOOKUP(A19, TB!$A:$B, 2, FALSE), "Invalid GL"))</f>
        <v/>
      </c>
      <c r="C19" s="18"/>
      <c r="D19" s="18"/>
      <c r="E19" s="6"/>
    </row>
    <row r="20" spans="1:5" x14ac:dyDescent="0.3">
      <c r="A20" s="6"/>
      <c r="B20" s="6" t="str">
        <f>IF(ISBLANK(A20), "", IFERROR(VLOOKUP(A20, TB!$A:$B, 2, FALSE), "Invalid GL"))</f>
        <v/>
      </c>
      <c r="C20" s="18"/>
      <c r="D20" s="18"/>
      <c r="E20" s="6"/>
    </row>
    <row r="21" spans="1:5" x14ac:dyDescent="0.3">
      <c r="A21" s="6"/>
      <c r="B21" s="6" t="str">
        <f>IF(ISBLANK(A21), "", IFERROR(VLOOKUP(A21, TB!$A:$B, 2, FALSE), "Invalid GL"))</f>
        <v/>
      </c>
      <c r="C21" s="18"/>
      <c r="D21" s="18"/>
      <c r="E21" s="6"/>
    </row>
    <row r="22" spans="1:5" x14ac:dyDescent="0.3">
      <c r="A22" s="6"/>
      <c r="B22" s="6" t="str">
        <f>IF(ISBLANK(A22), "", IFERROR(VLOOKUP(A22, TB!$A:$B, 2, FALSE), "Invalid GL"))</f>
        <v/>
      </c>
      <c r="C22" s="18"/>
      <c r="D22" s="18"/>
      <c r="E22" s="6"/>
    </row>
    <row r="23" spans="1:5" x14ac:dyDescent="0.3">
      <c r="A23" s="6"/>
      <c r="B23" s="6" t="str">
        <f>IF(ISBLANK(A23), "", IFERROR(VLOOKUP(A23, TB!$A:$B, 2, FALSE), "Invalid GL"))</f>
        <v/>
      </c>
      <c r="C23" s="18"/>
      <c r="D23" s="18"/>
      <c r="E23" s="6"/>
    </row>
    <row r="24" spans="1:5" x14ac:dyDescent="0.3">
      <c r="A24" s="6"/>
      <c r="B24" s="6" t="str">
        <f>IF(ISBLANK(A24), "", IFERROR(VLOOKUP(A24, TB!$A:$B, 2, FALSE), "Invalid GL"))</f>
        <v/>
      </c>
      <c r="C24" s="18"/>
      <c r="D24" s="18"/>
      <c r="E24" s="6"/>
    </row>
    <row r="25" spans="1:5" x14ac:dyDescent="0.3">
      <c r="A25" s="6"/>
      <c r="B25" s="6" t="str">
        <f>IF(ISBLANK(A25), "", IFERROR(VLOOKUP(A25, TB!$A:$B, 2, FALSE), "Invalid GL"))</f>
        <v/>
      </c>
      <c r="C25" s="18"/>
      <c r="D25" s="18"/>
      <c r="E25" s="6"/>
    </row>
    <row r="26" spans="1:5" x14ac:dyDescent="0.3">
      <c r="A26" s="6"/>
      <c r="B26" s="6" t="str">
        <f>IF(ISBLANK(A26), "", IFERROR(VLOOKUP(A26, TB!$A:$B, 2, FALSE), "Invalid GL"))</f>
        <v/>
      </c>
      <c r="C26" s="18"/>
      <c r="D26" s="18"/>
      <c r="E26" s="6"/>
    </row>
    <row r="27" spans="1:5" x14ac:dyDescent="0.3">
      <c r="A27" s="6"/>
      <c r="B27" s="6" t="str">
        <f>IF(ISBLANK(A27), "", IFERROR(VLOOKUP(A27, TB!$A:$B, 2, FALSE), "Invalid GL"))</f>
        <v/>
      </c>
      <c r="C27" s="18"/>
      <c r="D27" s="18"/>
      <c r="E27" s="6"/>
    </row>
    <row r="28" spans="1:5" x14ac:dyDescent="0.3">
      <c r="A28" s="6"/>
      <c r="B28" s="6" t="str">
        <f>IF(ISBLANK(A28), "", IFERROR(VLOOKUP(A28, TB!$A:$B, 2, FALSE), "Invalid GL"))</f>
        <v/>
      </c>
      <c r="C28" s="18"/>
      <c r="D28" s="18"/>
      <c r="E28" s="6"/>
    </row>
    <row r="29" spans="1:5" x14ac:dyDescent="0.3">
      <c r="A29" s="6"/>
      <c r="B29" s="6" t="str">
        <f>IF(ISBLANK(A29), "", IFERROR(VLOOKUP(A29, TB!$A:$B, 2, FALSE), "Invalid GL"))</f>
        <v/>
      </c>
      <c r="C29" s="18"/>
      <c r="D29" s="18"/>
      <c r="E29" s="6"/>
    </row>
    <row r="30" spans="1:5" x14ac:dyDescent="0.3">
      <c r="A30" s="6"/>
      <c r="B30" s="6" t="str">
        <f>IF(ISBLANK(A30), "", IFERROR(VLOOKUP(A30, TB!$A:$B, 2, FALSE), "Invalid GL"))</f>
        <v/>
      </c>
      <c r="C30" s="18"/>
      <c r="D30" s="18"/>
      <c r="E30" s="6"/>
    </row>
    <row r="31" spans="1:5" x14ac:dyDescent="0.3">
      <c r="A31" s="6"/>
      <c r="B31" s="6" t="str">
        <f>IF(ISBLANK(A31), "", IFERROR(VLOOKUP(A31, TB!$A:$B, 2, FALSE), "Invalid GL"))</f>
        <v/>
      </c>
      <c r="C31" s="18"/>
      <c r="D31" s="18"/>
      <c r="E31" s="6"/>
    </row>
    <row r="32" spans="1:5" x14ac:dyDescent="0.3">
      <c r="A32" s="6"/>
      <c r="B32" s="6" t="str">
        <f>IF(ISBLANK(A32), "", IFERROR(VLOOKUP(A32, TB!$A:$B, 2, FALSE), "Invalid GL"))</f>
        <v/>
      </c>
      <c r="C32" s="18"/>
      <c r="D32" s="18"/>
      <c r="E32" s="6"/>
    </row>
    <row r="33" spans="1:5" x14ac:dyDescent="0.3">
      <c r="A33" s="6"/>
      <c r="B33" s="6" t="str">
        <f>IF(ISBLANK(A33), "", IFERROR(VLOOKUP(A33, TB!$A:$B, 2, FALSE), "Invalid GL"))</f>
        <v/>
      </c>
      <c r="C33" s="18"/>
      <c r="D33" s="18"/>
      <c r="E33" s="6"/>
    </row>
    <row r="34" spans="1:5" x14ac:dyDescent="0.3">
      <c r="A34" s="6"/>
      <c r="B34" s="6" t="str">
        <f>IF(ISBLANK(A34), "", IFERROR(VLOOKUP(A34, TB!$A:$B, 2, FALSE), "Invalid GL"))</f>
        <v/>
      </c>
      <c r="C34" s="18"/>
      <c r="D34" s="18"/>
      <c r="E34" s="6"/>
    </row>
    <row r="35" spans="1:5" x14ac:dyDescent="0.3">
      <c r="A35" s="6"/>
      <c r="B35" s="6" t="str">
        <f>IF(ISBLANK(A35), "", IFERROR(VLOOKUP(A35, TB!$A:$B, 2, FALSE), "Invalid GL"))</f>
        <v/>
      </c>
      <c r="C35" s="18"/>
      <c r="D35" s="18"/>
      <c r="E35" s="6"/>
    </row>
    <row r="36" spans="1:5" x14ac:dyDescent="0.3">
      <c r="A36" s="6"/>
      <c r="B36" s="6" t="str">
        <f>IF(ISBLANK(A36), "", IFERROR(VLOOKUP(A36, TB!$A:$B, 2, FALSE), "Invalid GL"))</f>
        <v/>
      </c>
      <c r="C36" s="18"/>
      <c r="D36" s="18"/>
      <c r="E36" s="6"/>
    </row>
    <row r="37" spans="1:5" x14ac:dyDescent="0.3">
      <c r="A37" s="6"/>
      <c r="B37" s="6" t="str">
        <f>IF(ISBLANK(A37), "", IFERROR(VLOOKUP(A37, TB!$A:$B, 2, FALSE), "Invalid GL"))</f>
        <v/>
      </c>
      <c r="C37" s="18"/>
      <c r="D37" s="18"/>
      <c r="E37" s="6"/>
    </row>
    <row r="38" spans="1:5" x14ac:dyDescent="0.3">
      <c r="A38" s="6"/>
      <c r="B38" s="6" t="str">
        <f>IF(ISBLANK(A38), "", IFERROR(VLOOKUP(A38, TB!$A:$B, 2, FALSE), "Invalid GL"))</f>
        <v/>
      </c>
      <c r="C38" s="18"/>
      <c r="D38" s="18"/>
      <c r="E38" s="6"/>
    </row>
    <row r="39" spans="1:5" x14ac:dyDescent="0.3">
      <c r="A39" s="6"/>
      <c r="B39" s="6" t="str">
        <f>IF(ISBLANK(A39), "", IFERROR(VLOOKUP(A39, TB!$A:$B, 2, FALSE), "Invalid GL"))</f>
        <v/>
      </c>
      <c r="C39" s="18"/>
      <c r="D39" s="18"/>
      <c r="E39" s="6"/>
    </row>
    <row r="40" spans="1:5" x14ac:dyDescent="0.3">
      <c r="A40" s="6"/>
      <c r="B40" s="6" t="str">
        <f>IF(ISBLANK(A40), "", IFERROR(VLOOKUP(A40, TB!$A:$B, 2, FALSE), "Invalid GL"))</f>
        <v/>
      </c>
      <c r="C40" s="18"/>
      <c r="D40" s="18"/>
      <c r="E40" s="6"/>
    </row>
    <row r="41" spans="1:5" x14ac:dyDescent="0.3">
      <c r="A41" s="6"/>
      <c r="B41" s="6" t="str">
        <f>IF(ISBLANK(A41), "", IFERROR(VLOOKUP(A41, TB!$A:$B, 2, FALSE), "Invalid GL"))</f>
        <v/>
      </c>
      <c r="C41" s="18"/>
      <c r="D41" s="18"/>
      <c r="E41" s="6"/>
    </row>
    <row r="42" spans="1:5" x14ac:dyDescent="0.3">
      <c r="A42" s="6"/>
      <c r="B42" s="6" t="str">
        <f>IF(ISBLANK(A42), "", IFERROR(VLOOKUP(A42, TB!$A:$B, 2, FALSE), "Invalid GL"))</f>
        <v/>
      </c>
      <c r="C42" s="18"/>
      <c r="D42" s="18"/>
      <c r="E42" s="6"/>
    </row>
    <row r="43" spans="1:5" x14ac:dyDescent="0.3">
      <c r="A43" s="6"/>
      <c r="B43" s="6" t="str">
        <f>IF(ISBLANK(A43), "", IFERROR(VLOOKUP(A43, TB!$A:$B, 2, FALSE), "Invalid GL"))</f>
        <v/>
      </c>
      <c r="C43" s="18"/>
      <c r="D43" s="18"/>
      <c r="E43" s="6"/>
    </row>
    <row r="44" spans="1:5" x14ac:dyDescent="0.3">
      <c r="A44" s="6"/>
      <c r="B44" s="6" t="str">
        <f>IF(ISBLANK(A44), "", IFERROR(VLOOKUP(A44, TB!$A:$B, 2, FALSE), "Invalid GL"))</f>
        <v/>
      </c>
      <c r="C44" s="18"/>
      <c r="D44" s="18"/>
      <c r="E44" s="6"/>
    </row>
    <row r="45" spans="1:5" x14ac:dyDescent="0.3">
      <c r="A45" s="6"/>
      <c r="B45" s="6" t="str">
        <f>IF(ISBLANK(A45), "", IFERROR(VLOOKUP(A45, TB!$A:$B, 2, FALSE), "Invalid GL"))</f>
        <v/>
      </c>
      <c r="C45" s="18"/>
      <c r="D45" s="18"/>
      <c r="E45" s="6"/>
    </row>
    <row r="46" spans="1:5" x14ac:dyDescent="0.3">
      <c r="A46" s="6"/>
      <c r="B46" s="6" t="str">
        <f>IF(ISBLANK(A46), "", IFERROR(VLOOKUP(A46, TB!$A:$B, 2, FALSE), "Invalid GL"))</f>
        <v/>
      </c>
      <c r="C46" s="18"/>
      <c r="D46" s="18"/>
      <c r="E46" s="6"/>
    </row>
    <row r="47" spans="1:5" x14ac:dyDescent="0.3">
      <c r="A47" s="6"/>
      <c r="B47" s="6" t="str">
        <f>IF(ISBLANK(A47), "", IFERROR(VLOOKUP(A47, TB!$A:$B, 2, FALSE), "Invalid GL"))</f>
        <v/>
      </c>
      <c r="C47" s="18"/>
      <c r="D47" s="18"/>
      <c r="E47" s="6"/>
    </row>
    <row r="48" spans="1:5" x14ac:dyDescent="0.3">
      <c r="A48" s="6"/>
      <c r="B48" s="6" t="str">
        <f>IF(ISBLANK(A48), "", IFERROR(VLOOKUP(A48, TB!$A:$B, 2, FALSE), "Invalid GL"))</f>
        <v/>
      </c>
      <c r="C48" s="18"/>
      <c r="D48" s="18"/>
      <c r="E48" s="6"/>
    </row>
    <row r="49" spans="1:5" x14ac:dyDescent="0.3">
      <c r="A49" s="6"/>
      <c r="B49" s="6" t="str">
        <f>IF(ISBLANK(A49), "", IFERROR(VLOOKUP(A49, TB!$A:$B, 2, FALSE), "Invalid GL"))</f>
        <v/>
      </c>
      <c r="C49" s="18"/>
      <c r="D49" s="18"/>
      <c r="E49" s="6"/>
    </row>
    <row r="50" spans="1:5" x14ac:dyDescent="0.3">
      <c r="A50" s="6"/>
      <c r="B50" s="6" t="str">
        <f>IF(ISBLANK(A50), "", IFERROR(VLOOKUP(A50, TB!$A:$B, 2, FALSE), "Invalid GL"))</f>
        <v/>
      </c>
      <c r="C50" s="18"/>
      <c r="D50" s="18"/>
      <c r="E50" s="6"/>
    </row>
    <row r="51" spans="1:5" x14ac:dyDescent="0.3">
      <c r="A51" s="6"/>
      <c r="B51" s="6" t="str">
        <f>IF(ISBLANK(A51), "", IFERROR(VLOOKUP(A51, TB!$A:$B, 2, FALSE), "Invalid GL"))</f>
        <v/>
      </c>
      <c r="C51" s="18"/>
      <c r="D51" s="18"/>
      <c r="E51" s="6"/>
    </row>
    <row r="52" spans="1:5" x14ac:dyDescent="0.3">
      <c r="A52" s="6"/>
      <c r="B52" s="6" t="str">
        <f>IF(ISBLANK(A52), "", IFERROR(VLOOKUP(A52, TB!$A:$B, 2, FALSE), "Invalid GL"))</f>
        <v/>
      </c>
      <c r="C52" s="18"/>
      <c r="D52" s="18"/>
      <c r="E52" s="6"/>
    </row>
    <row r="53" spans="1:5" x14ac:dyDescent="0.3">
      <c r="A53" s="6"/>
      <c r="B53" s="6" t="str">
        <f>IF(ISBLANK(A53), "", IFERROR(VLOOKUP(A53, TB!$A:$B, 2, FALSE), "Invalid GL"))</f>
        <v/>
      </c>
      <c r="C53" s="18"/>
      <c r="D53" s="18"/>
      <c r="E53" s="6"/>
    </row>
    <row r="54" spans="1:5" x14ac:dyDescent="0.3">
      <c r="A54" s="6"/>
      <c r="B54" s="6" t="str">
        <f>IF(ISBLANK(A54), "", IFERROR(VLOOKUP(A54, TB!$A:$B, 2, FALSE), "Invalid GL"))</f>
        <v/>
      </c>
      <c r="C54" s="18"/>
      <c r="D54" s="18"/>
      <c r="E54" s="6"/>
    </row>
    <row r="55" spans="1:5" x14ac:dyDescent="0.3">
      <c r="A55" s="6"/>
      <c r="B55" s="6" t="str">
        <f>IF(ISBLANK(A55), "", IFERROR(VLOOKUP(A55, TB!$A:$B, 2, FALSE), "Invalid GL"))</f>
        <v/>
      </c>
      <c r="C55" s="18"/>
      <c r="D55" s="18"/>
      <c r="E55" s="6"/>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9"/>
  <sheetViews>
    <sheetView workbookViewId="0"/>
  </sheetViews>
  <sheetFormatPr defaultRowHeight="14.4" x14ac:dyDescent="0.3"/>
  <cols>
    <col min="1" max="1" width="12" customWidth="1"/>
    <col min="2" max="2" width="40" customWidth="1"/>
    <col min="3" max="4" width="18" customWidth="1"/>
    <col min="5" max="5" width="20" customWidth="1"/>
  </cols>
  <sheetData>
    <row r="1" spans="1:4" x14ac:dyDescent="0.3">
      <c r="A1" s="7" t="str">
        <f>HYPERLINK("#Home!A1", "&lt;- Go to Dashboard")</f>
        <v>&lt;- Go to Dashboard</v>
      </c>
    </row>
    <row r="2" spans="1:4" ht="15.6" x14ac:dyDescent="0.3">
      <c r="A2" s="57" t="s">
        <v>24</v>
      </c>
      <c r="B2" s="46"/>
      <c r="C2" s="46"/>
      <c r="D2" s="46"/>
    </row>
    <row r="3" spans="1:4" x14ac:dyDescent="0.3">
      <c r="A3" s="56" t="s">
        <v>100</v>
      </c>
      <c r="B3" s="46"/>
      <c r="C3" s="46"/>
      <c r="D3" s="46"/>
    </row>
    <row r="5" spans="1:4" x14ac:dyDescent="0.3">
      <c r="A5" s="19" t="s">
        <v>101</v>
      </c>
      <c r="B5" s="19" t="s">
        <v>102</v>
      </c>
      <c r="C5" s="20" t="s">
        <v>36</v>
      </c>
      <c r="D5" s="20" t="s">
        <v>35</v>
      </c>
    </row>
    <row r="6" spans="1:4" ht="19.95" customHeight="1" x14ac:dyDescent="0.3">
      <c r="A6" s="21" t="s">
        <v>103</v>
      </c>
      <c r="B6" s="22" t="str">
        <f>IF(BD!$B$9="Non-Corporate", "CAPITAL AND LIABILITIES", "EQUITY AND LIABILITIES")</f>
        <v>EQUITY AND LIABILITIES</v>
      </c>
      <c r="C6" s="23">
        <f>C7+C10+C12</f>
        <v>1102500</v>
      </c>
      <c r="D6" s="23">
        <f>D7+D10+D12</f>
        <v>497500</v>
      </c>
    </row>
    <row r="7" spans="1:4" ht="19.95" customHeight="1" x14ac:dyDescent="0.3">
      <c r="A7" s="21" t="s">
        <v>104</v>
      </c>
      <c r="B7" s="24" t="str">
        <f>IF(BD!$B$9="Non-Corporate", "Partners' / Proprietor's Funds", "Shareholders' Funds")</f>
        <v>Shareholders' Funds</v>
      </c>
      <c r="C7" s="25">
        <f>SUM(C8:C9)</f>
        <v>822500</v>
      </c>
      <c r="D7" s="25">
        <f>SUM(D8:D9)</f>
        <v>357500</v>
      </c>
    </row>
    <row r="8" spans="1:4" ht="19.95" customHeight="1" x14ac:dyDescent="0.3">
      <c r="A8" s="21" t="s">
        <v>105</v>
      </c>
      <c r="B8" s="26" t="str">
        <f>IF(BD!$B$9="Non-Corporate", "Partners' / Proprietor's Capital Account", "Share Capital")</f>
        <v>Share Capital</v>
      </c>
      <c r="C8" s="27">
        <f>(-SUMIFS(TB!$K$6:$K$500, TB!$O$6:$O$500, A8)) / BD!$B$8</f>
        <v>500000</v>
      </c>
      <c r="D8" s="27">
        <f>(-SUMIFS(TB!$H$6:$H$500, TB!$O$6:$O$500, A8)) / BD!$B$8</f>
        <v>250000</v>
      </c>
    </row>
    <row r="9" spans="1:4" ht="19.95" customHeight="1" x14ac:dyDescent="0.3">
      <c r="A9" s="21" t="s">
        <v>106</v>
      </c>
      <c r="B9" s="26" t="str">
        <f>IF(BD!$B$9="Non-Corporate", "Reserves &amp; Profit / Loss Balance", "Reserves and Surplus")</f>
        <v>Reserves and Surplus</v>
      </c>
      <c r="C9" s="27">
        <f>(-SUMIFS(TB!$K$6:$K$500, TB!$O$6:$O$500, A9)) / BD!$B$8 + PL!$C$6 - PL!$C$9</f>
        <v>322500</v>
      </c>
      <c r="D9" s="27">
        <f>(-SUMIFS(TB!$H$6:$H$500, TB!$O$6:$O$500, A9)) / BD!$B$8 + PL!$D$6 - PL!$D$9</f>
        <v>107500</v>
      </c>
    </row>
    <row r="10" spans="1:4" ht="19.95" customHeight="1" x14ac:dyDescent="0.3">
      <c r="A10" s="21" t="s">
        <v>107</v>
      </c>
      <c r="B10" s="24" t="s">
        <v>58</v>
      </c>
      <c r="C10" s="25">
        <f>C11</f>
        <v>200000</v>
      </c>
      <c r="D10" s="25">
        <f>D11</f>
        <v>100000</v>
      </c>
    </row>
    <row r="11" spans="1:4" ht="19.95" customHeight="1" x14ac:dyDescent="0.3">
      <c r="A11" s="21" t="s">
        <v>108</v>
      </c>
      <c r="B11" s="26" t="s">
        <v>59</v>
      </c>
      <c r="C11" s="27">
        <f>(-SUMIFS(TB!$K$6:$K$500, TB!$O$6:$O$500, A11)) / BD!$B$8</f>
        <v>200000</v>
      </c>
      <c r="D11" s="27">
        <f>(-SUMIFS(TB!$H$6:$H$500, TB!$O$6:$O$500, A11)) / BD!$B$8</f>
        <v>100000</v>
      </c>
    </row>
    <row r="12" spans="1:4" ht="19.95" customHeight="1" x14ac:dyDescent="0.3">
      <c r="A12" s="21" t="s">
        <v>109</v>
      </c>
      <c r="B12" s="24" t="s">
        <v>62</v>
      </c>
      <c r="C12" s="25">
        <f>SUM(C13:C16)</f>
        <v>80000</v>
      </c>
      <c r="D12" s="25">
        <f>SUM(D13:D16)</f>
        <v>40000</v>
      </c>
    </row>
    <row r="13" spans="1:4" ht="19.95" customHeight="1" x14ac:dyDescent="0.3">
      <c r="A13" s="21" t="s">
        <v>110</v>
      </c>
      <c r="B13" s="26" t="s">
        <v>111</v>
      </c>
      <c r="C13" s="27">
        <f>(-SUMIFS(TB!$K$6:$K$500, TB!$O$6:$O$500, A13)) / BD!$B$8</f>
        <v>0</v>
      </c>
      <c r="D13" s="27">
        <f>(-SUMIFS(TB!$H$6:$H$500, TB!$O$6:$O$500, A13)) / BD!$B$8</f>
        <v>0</v>
      </c>
    </row>
    <row r="14" spans="1:4" ht="19.95" customHeight="1" x14ac:dyDescent="0.3">
      <c r="A14" s="21" t="s">
        <v>112</v>
      </c>
      <c r="B14" s="26" t="s">
        <v>63</v>
      </c>
      <c r="C14" s="27">
        <f>(-SUMIFS(TB!$K$6:$K$500, TB!$O$6:$O$500, A14)) / BD!$B$8</f>
        <v>80000</v>
      </c>
      <c r="D14" s="27">
        <f>(-SUMIFS(TB!$H$6:$H$500, TB!$O$6:$O$500, A14)) / BD!$B$8</f>
        <v>40000</v>
      </c>
    </row>
    <row r="15" spans="1:4" ht="19.95" customHeight="1" x14ac:dyDescent="0.3">
      <c r="A15" s="21" t="s">
        <v>113</v>
      </c>
      <c r="B15" s="26" t="s">
        <v>114</v>
      </c>
      <c r="C15" s="27">
        <f>(-SUMIFS(TB!$K$6:$K$500, TB!$O$6:$O$500, A15)) / BD!$B$8</f>
        <v>0</v>
      </c>
      <c r="D15" s="27">
        <f>(-SUMIFS(TB!$H$6:$H$500, TB!$O$6:$O$500, A15)) / BD!$B$8</f>
        <v>0</v>
      </c>
    </row>
    <row r="16" spans="1:4" ht="19.95" customHeight="1" x14ac:dyDescent="0.3">
      <c r="A16" s="21" t="s">
        <v>115</v>
      </c>
      <c r="B16" s="26" t="s">
        <v>116</v>
      </c>
      <c r="C16" s="27">
        <f>(-SUMIFS(TB!$K$6:$K$500, TB!$O$6:$O$500, A16)) / BD!$B$8</f>
        <v>0</v>
      </c>
      <c r="D16" s="27">
        <f>(-SUMIFS(TB!$H$6:$H$500, TB!$O$6:$O$500, A16)) / BD!$B$8</f>
        <v>0</v>
      </c>
    </row>
    <row r="17" spans="1:4" ht="19.95" customHeight="1" x14ac:dyDescent="0.3">
      <c r="A17" s="21" t="s">
        <v>117</v>
      </c>
      <c r="B17" s="22" t="s">
        <v>118</v>
      </c>
      <c r="C17" s="23">
        <f>C18+C23</f>
        <v>1102500</v>
      </c>
      <c r="D17" s="23">
        <f>D18+D23</f>
        <v>497500</v>
      </c>
    </row>
    <row r="18" spans="1:4" ht="19.95" customHeight="1" x14ac:dyDescent="0.3">
      <c r="A18" s="21" t="s">
        <v>119</v>
      </c>
      <c r="B18" s="24" t="s">
        <v>67</v>
      </c>
      <c r="C18" s="25">
        <f>C19+C22</f>
        <v>400000</v>
      </c>
      <c r="D18" s="25">
        <f>D19+D22</f>
        <v>200000</v>
      </c>
    </row>
    <row r="19" spans="1:4" ht="19.95" customHeight="1" x14ac:dyDescent="0.3">
      <c r="A19" s="21" t="s">
        <v>120</v>
      </c>
      <c r="B19" s="24" t="s">
        <v>121</v>
      </c>
      <c r="C19" s="25">
        <f>SUM(C20:C21)</f>
        <v>400000</v>
      </c>
      <c r="D19" s="25">
        <f>SUM(D20:D21)</f>
        <v>200000</v>
      </c>
    </row>
    <row r="20" spans="1:4" ht="19.95" customHeight="1" x14ac:dyDescent="0.3">
      <c r="A20" s="21" t="s">
        <v>122</v>
      </c>
      <c r="B20" s="26" t="s">
        <v>68</v>
      </c>
      <c r="C20" s="27">
        <f>(SUMIFS(TB!$K$6:$K$500, TB!$O$6:$O$500, A20)) / BD!$B$8</f>
        <v>400000</v>
      </c>
      <c r="D20" s="27">
        <f>(SUMIFS(TB!$H$6:$H$500, TB!$O$6:$O$500, A20)) / BD!$B$8</f>
        <v>200000</v>
      </c>
    </row>
    <row r="21" spans="1:4" ht="19.95" customHeight="1" x14ac:dyDescent="0.3">
      <c r="A21" s="21" t="s">
        <v>123</v>
      </c>
      <c r="B21" s="26" t="s">
        <v>124</v>
      </c>
      <c r="C21" s="27">
        <f>(SUMIFS(TB!$K$6:$K$500, TB!$O$6:$O$500, A21)) / BD!$B$8</f>
        <v>0</v>
      </c>
      <c r="D21" s="27">
        <f>(SUMIFS(TB!$H$6:$H$500, TB!$O$6:$O$500, A21)) / BD!$B$8</f>
        <v>0</v>
      </c>
    </row>
    <row r="22" spans="1:4" ht="19.95" customHeight="1" x14ac:dyDescent="0.3">
      <c r="A22" s="21" t="s">
        <v>125</v>
      </c>
      <c r="B22" s="26" t="s">
        <v>126</v>
      </c>
      <c r="C22" s="27">
        <f>(SUMIFS(TB!$K$6:$K$500, TB!$O$6:$O$500, A22)) / BD!$B$8</f>
        <v>0</v>
      </c>
      <c r="D22" s="27">
        <f>(SUMIFS(TB!$H$6:$H$500, TB!$O$6:$O$500, A22)) / BD!$B$8</f>
        <v>0</v>
      </c>
    </row>
    <row r="23" spans="1:4" ht="19.95" customHeight="1" x14ac:dyDescent="0.3">
      <c r="A23" s="21" t="s">
        <v>127</v>
      </c>
      <c r="B23" s="24" t="s">
        <v>71</v>
      </c>
      <c r="C23" s="25">
        <f>SUM(C24:C29)</f>
        <v>702500</v>
      </c>
      <c r="D23" s="25">
        <f>SUM(D24:D29)</f>
        <v>297500</v>
      </c>
    </row>
    <row r="24" spans="1:4" ht="19.95" customHeight="1" x14ac:dyDescent="0.3">
      <c r="A24" s="21" t="s">
        <v>128</v>
      </c>
      <c r="B24" s="26" t="s">
        <v>129</v>
      </c>
      <c r="C24" s="27">
        <f>(SUMIFS(TB!$K$6:$K$500, TB!$O$6:$O$500, A24)) / BD!$B$8</f>
        <v>0</v>
      </c>
      <c r="D24" s="27">
        <f>(SUMIFS(TB!$H$6:$H$500, TB!$O$6:$O$500, A24)) / BD!$B$8</f>
        <v>0</v>
      </c>
    </row>
    <row r="25" spans="1:4" ht="19.95" customHeight="1" x14ac:dyDescent="0.3">
      <c r="A25" s="21" t="s">
        <v>130</v>
      </c>
      <c r="B25" s="26" t="s">
        <v>78</v>
      </c>
      <c r="C25" s="27">
        <f>(SUMIFS(TB!$K$6:$K$500, TB!$O$6:$O$500, A25)) / BD!$B$8</f>
        <v>80000</v>
      </c>
      <c r="D25" s="27">
        <f>(SUMIFS(TB!$H$6:$H$500, TB!$O$6:$O$500, A25)) / BD!$B$8</f>
        <v>40000</v>
      </c>
    </row>
    <row r="26" spans="1:4" ht="19.95" customHeight="1" x14ac:dyDescent="0.3">
      <c r="A26" s="21" t="s">
        <v>131</v>
      </c>
      <c r="B26" s="26" t="s">
        <v>75</v>
      </c>
      <c r="C26" s="27">
        <f>(SUMIFS(TB!$K$6:$K$500, TB!$O$6:$O$500, A26)) / BD!$B$8</f>
        <v>60000</v>
      </c>
      <c r="D26" s="27">
        <f>(SUMIFS(TB!$H$6:$H$500, TB!$O$6:$O$500, A26)) / BD!$B$8</f>
        <v>30000</v>
      </c>
    </row>
    <row r="27" spans="1:4" ht="19.95" customHeight="1" x14ac:dyDescent="0.3">
      <c r="A27" s="21" t="s">
        <v>132</v>
      </c>
      <c r="B27" s="26" t="s">
        <v>72</v>
      </c>
      <c r="C27" s="27">
        <f>(SUMIFS(TB!$K$6:$K$500, TB!$O$6:$O$500, A27)) / BD!$B$8</f>
        <v>562500</v>
      </c>
      <c r="D27" s="27">
        <f>(SUMIFS(TB!$H$6:$H$500, TB!$O$6:$O$500, A27)) / BD!$B$8</f>
        <v>227500</v>
      </c>
    </row>
    <row r="28" spans="1:4" ht="19.95" customHeight="1" x14ac:dyDescent="0.3">
      <c r="A28" s="21" t="s">
        <v>133</v>
      </c>
      <c r="B28" s="26" t="s">
        <v>134</v>
      </c>
      <c r="C28" s="27">
        <f>(SUMIFS(TB!$K$6:$K$500, TB!$O$6:$O$500, A28)) / BD!$B$8</f>
        <v>0</v>
      </c>
      <c r="D28" s="27">
        <f>(SUMIFS(TB!$H$6:$H$500, TB!$O$6:$O$500, A28)) / BD!$B$8</f>
        <v>0</v>
      </c>
    </row>
    <row r="29" spans="1:4" ht="19.95" customHeight="1" x14ac:dyDescent="0.3">
      <c r="A29" s="21" t="s">
        <v>135</v>
      </c>
      <c r="B29" s="26" t="s">
        <v>136</v>
      </c>
      <c r="C29" s="27">
        <f>(SUMIFS(TB!$K$6:$K$500, TB!$O$6:$O$500, A29)) / BD!$B$8</f>
        <v>0</v>
      </c>
      <c r="D29" s="27">
        <f>(SUMIFS(TB!$H$6:$H$500, TB!$O$6:$O$500, A29)) / BD!$B$8</f>
        <v>0</v>
      </c>
    </row>
  </sheetData>
  <mergeCells count="2">
    <mergeCell ref="A3:D3"/>
    <mergeCell ref="A2:D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FitToTwoPages">
                <anchor moveWithCells="1" sizeWithCells="1">
                  <from>
                    <xdr:col>4</xdr:col>
                    <xdr:colOff>60960</xdr:colOff>
                    <xdr:row>1</xdr:row>
                    <xdr:rowOff>0</xdr:rowOff>
                  </from>
                  <to>
                    <xdr:col>4</xdr:col>
                    <xdr:colOff>1303020</xdr:colOff>
                    <xdr:row>2</xdr:row>
                    <xdr:rowOff>152400</xdr:rowOff>
                  </to>
                </anchor>
              </controlPr>
            </control>
          </mc:Choice>
        </mc:AlternateContent>
        <mc:AlternateContent xmlns:mc="http://schemas.openxmlformats.org/markup-compatibility/2006">
          <mc:Choice Requires="x14">
            <control shapeId="2050" r:id="rId4" name="Button 2">
              <controlPr defaultSize="0" print="0" autoFill="0" autoPict="0" macro="FitToOnePage">
                <anchor moveWithCells="1" sizeWithCells="1">
                  <from>
                    <xdr:col>4</xdr:col>
                    <xdr:colOff>60960</xdr:colOff>
                    <xdr:row>3</xdr:row>
                    <xdr:rowOff>0</xdr:rowOff>
                  </from>
                  <to>
                    <xdr:col>4</xdr:col>
                    <xdr:colOff>1303020</xdr:colOff>
                    <xdr:row>4</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5"/>
  <sheetViews>
    <sheetView workbookViewId="0"/>
  </sheetViews>
  <sheetFormatPr defaultRowHeight="14.4" x14ac:dyDescent="0.3"/>
  <cols>
    <col min="1" max="1" width="12" customWidth="1"/>
    <col min="2" max="2" width="40" customWidth="1"/>
    <col min="3" max="4" width="18" customWidth="1"/>
    <col min="5" max="5" width="20" customWidth="1"/>
  </cols>
  <sheetData>
    <row r="1" spans="1:4" x14ac:dyDescent="0.3">
      <c r="A1" s="7" t="str">
        <f>HYPERLINK("#Home!A1", "&lt;- Go to Dashboard")</f>
        <v>&lt;- Go to Dashboard</v>
      </c>
    </row>
    <row r="2" spans="1:4" ht="15.6" x14ac:dyDescent="0.3">
      <c r="A2" s="57" t="s">
        <v>24</v>
      </c>
      <c r="B2" s="46"/>
      <c r="C2" s="46"/>
      <c r="D2" s="46"/>
    </row>
    <row r="3" spans="1:4" x14ac:dyDescent="0.3">
      <c r="A3" s="56" t="s">
        <v>137</v>
      </c>
      <c r="B3" s="46"/>
      <c r="C3" s="46"/>
      <c r="D3" s="46"/>
    </row>
    <row r="5" spans="1:4" x14ac:dyDescent="0.3">
      <c r="A5" s="19" t="s">
        <v>101</v>
      </c>
      <c r="B5" s="19" t="s">
        <v>102</v>
      </c>
      <c r="C5" s="20" t="s">
        <v>36</v>
      </c>
      <c r="D5" s="20" t="s">
        <v>35</v>
      </c>
    </row>
    <row r="6" spans="1:4" ht="19.95" customHeight="1" x14ac:dyDescent="0.3">
      <c r="A6" s="21" t="s">
        <v>138</v>
      </c>
      <c r="B6" s="22" t="s">
        <v>82</v>
      </c>
      <c r="C6" s="23">
        <f>SUM(C7:C8)</f>
        <v>400000</v>
      </c>
      <c r="D6" s="23">
        <f>SUM(D7:D8)</f>
        <v>200000</v>
      </c>
    </row>
    <row r="7" spans="1:4" ht="19.95" customHeight="1" x14ac:dyDescent="0.3">
      <c r="A7" s="21" t="s">
        <v>139</v>
      </c>
      <c r="B7" s="26" t="s">
        <v>83</v>
      </c>
      <c r="C7" s="27">
        <f>(-SUMIFS(TB!$K$6:$K$500, TB!$O$6:$O$500, A7)) / BD!$B$8</f>
        <v>400000</v>
      </c>
      <c r="D7" s="27">
        <f>(-SUMIFS(TB!$H$6:$H$500, TB!$O$6:$O$500, A7)) / BD!$B$8</f>
        <v>200000</v>
      </c>
    </row>
    <row r="8" spans="1:4" ht="19.95" customHeight="1" x14ac:dyDescent="0.3">
      <c r="A8" s="21" t="s">
        <v>140</v>
      </c>
      <c r="B8" s="26" t="s">
        <v>141</v>
      </c>
      <c r="C8" s="27">
        <f>(-SUMIFS(TB!$K$6:$K$500, TB!$O$6:$O$500, A8)) / BD!$B$8</f>
        <v>0</v>
      </c>
      <c r="D8" s="27">
        <f>(-SUMIFS(TB!$H$6:$H$500, TB!$O$6:$O$500, A8)) / BD!$B$8</f>
        <v>0</v>
      </c>
    </row>
    <row r="9" spans="1:4" ht="19.95" customHeight="1" x14ac:dyDescent="0.3">
      <c r="A9" s="21" t="s">
        <v>142</v>
      </c>
      <c r="B9" s="22" t="s">
        <v>87</v>
      </c>
      <c r="C9" s="23">
        <f>SUM(C10:C15)</f>
        <v>185000</v>
      </c>
      <c r="D9" s="23">
        <f>SUM(D10:D15)</f>
        <v>92500</v>
      </c>
    </row>
    <row r="10" spans="1:4" ht="19.95" customHeight="1" x14ac:dyDescent="0.3">
      <c r="A10" s="21" t="s">
        <v>143</v>
      </c>
      <c r="B10" s="26" t="s">
        <v>144</v>
      </c>
      <c r="C10" s="27">
        <f>(SUMIFS(TB!$K$6:$K$500, TB!$O$6:$O$500, A10)) / BD!$B$8</f>
        <v>0</v>
      </c>
      <c r="D10" s="27">
        <f>(SUMIFS(TB!$H$6:$H$500, TB!$O$6:$O$500, A10)) / BD!$B$8</f>
        <v>0</v>
      </c>
    </row>
    <row r="11" spans="1:4" ht="19.95" customHeight="1" x14ac:dyDescent="0.3">
      <c r="A11" s="21" t="s">
        <v>145</v>
      </c>
      <c r="B11" s="26" t="s">
        <v>146</v>
      </c>
      <c r="C11" s="27">
        <f>(SUMIFS(TB!$K$6:$K$500, TB!$O$6:$O$500, A11)) / BD!$B$8</f>
        <v>0</v>
      </c>
      <c r="D11" s="27">
        <f>(SUMIFS(TB!$H$6:$H$500, TB!$O$6:$O$500, A11)) / BD!$B$8</f>
        <v>0</v>
      </c>
    </row>
    <row r="12" spans="1:4" ht="19.95" customHeight="1" x14ac:dyDescent="0.3">
      <c r="A12" s="21" t="s">
        <v>147</v>
      </c>
      <c r="B12" s="26" t="s">
        <v>88</v>
      </c>
      <c r="C12" s="27">
        <f>(SUMIFS(TB!$K$6:$K$500, TB!$O$6:$O$500, A12)) / BD!$B$8</f>
        <v>150000</v>
      </c>
      <c r="D12" s="27">
        <f>(SUMIFS(TB!$H$6:$H$500, TB!$O$6:$O$500, A12)) / BD!$B$8</f>
        <v>75000</v>
      </c>
    </row>
    <row r="13" spans="1:4" ht="19.95" customHeight="1" x14ac:dyDescent="0.3">
      <c r="A13" s="21" t="s">
        <v>148</v>
      </c>
      <c r="B13" s="26" t="s">
        <v>91</v>
      </c>
      <c r="C13" s="27">
        <f>(SUMIFS(TB!$K$6:$K$500, TB!$O$6:$O$500, A13)) / BD!$B$8</f>
        <v>15000</v>
      </c>
      <c r="D13" s="27">
        <f>(SUMIFS(TB!$H$6:$H$500, TB!$O$6:$O$500, A13)) / BD!$B$8</f>
        <v>7500</v>
      </c>
    </row>
    <row r="14" spans="1:4" ht="19.95" customHeight="1" x14ac:dyDescent="0.3">
      <c r="A14" s="21" t="s">
        <v>149</v>
      </c>
      <c r="B14" s="26" t="s">
        <v>150</v>
      </c>
      <c r="C14" s="27">
        <f>(SUMIFS(TB!$K$6:$K$500, TB!$O$6:$O$500, A14)) / BD!$B$8</f>
        <v>0</v>
      </c>
      <c r="D14" s="27">
        <f>(SUMIFS(TB!$H$6:$H$500, TB!$O$6:$O$500, A14)) / BD!$B$8</f>
        <v>0</v>
      </c>
    </row>
    <row r="15" spans="1:4" ht="19.95" customHeight="1" x14ac:dyDescent="0.3">
      <c r="A15" s="21" t="s">
        <v>151</v>
      </c>
      <c r="B15" s="26" t="s">
        <v>94</v>
      </c>
      <c r="C15" s="27">
        <f>(SUMIFS(TB!$K$6:$K$500, TB!$O$6:$O$500, A15)) / BD!$B$8</f>
        <v>20000</v>
      </c>
      <c r="D15" s="27">
        <f>(SUMIFS(TB!$H$6:$H$500, TB!$O$6:$O$500, A15)) / BD!$B$8</f>
        <v>10000</v>
      </c>
    </row>
  </sheetData>
  <mergeCells count="2">
    <mergeCell ref="A3:D3"/>
    <mergeCell ref="A2:D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FitToTwoPages">
                <anchor moveWithCells="1" sizeWithCells="1">
                  <from>
                    <xdr:col>4</xdr:col>
                    <xdr:colOff>60960</xdr:colOff>
                    <xdr:row>1</xdr:row>
                    <xdr:rowOff>0</xdr:rowOff>
                  </from>
                  <to>
                    <xdr:col>4</xdr:col>
                    <xdr:colOff>1303020</xdr:colOff>
                    <xdr:row>2</xdr:row>
                    <xdr:rowOff>152400</xdr:rowOff>
                  </to>
                </anchor>
              </controlPr>
            </control>
          </mc:Choice>
        </mc:AlternateContent>
        <mc:AlternateContent xmlns:mc="http://schemas.openxmlformats.org/markup-compatibility/2006">
          <mc:Choice Requires="x14">
            <control shapeId="3074" r:id="rId4" name="Button 2">
              <controlPr defaultSize="0" print="0" autoFill="0" autoPict="0" macro="FitToOnePage">
                <anchor moveWithCells="1" sizeWithCells="1">
                  <from>
                    <xdr:col>4</xdr:col>
                    <xdr:colOff>60960</xdr:colOff>
                    <xdr:row>3</xdr:row>
                    <xdr:rowOff>0</xdr:rowOff>
                  </from>
                  <to>
                    <xdr:col>4</xdr:col>
                    <xdr:colOff>1303020</xdr:colOff>
                    <xdr:row>4</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heetViews>
  <sheetFormatPr defaultRowHeight="14.4" x14ac:dyDescent="0.3"/>
  <cols>
    <col min="1" max="1" width="45" customWidth="1"/>
    <col min="2" max="2" width="18" customWidth="1"/>
  </cols>
  <sheetData>
    <row r="1" spans="1:3" x14ac:dyDescent="0.3">
      <c r="A1" s="7" t="str">
        <f>HYPERLINK("#Home!A1", "&lt;- Go to Dashboard")</f>
        <v>&lt;- Go to Dashboard</v>
      </c>
    </row>
    <row r="2" spans="1:3" ht="15.6" x14ac:dyDescent="0.3">
      <c r="A2" s="57" t="s">
        <v>152</v>
      </c>
      <c r="B2" s="46"/>
      <c r="C2" s="46"/>
    </row>
    <row r="4" spans="1:3" x14ac:dyDescent="0.3">
      <c r="A4" s="17" t="s">
        <v>102</v>
      </c>
      <c r="B4" s="17" t="s">
        <v>153</v>
      </c>
    </row>
    <row r="5" spans="1:3" x14ac:dyDescent="0.3">
      <c r="A5" s="11" t="s">
        <v>154</v>
      </c>
      <c r="B5" s="28"/>
    </row>
    <row r="6" spans="1:3" x14ac:dyDescent="0.3">
      <c r="A6" s="11" t="s">
        <v>155</v>
      </c>
      <c r="B6" s="12">
        <f>IFERROR(VLOOKUP("3", PL!$A:$D, 3, FALSE), 0) - IFERROR(VLOOKUP("4", PL!$A:$D, 3, FALSE), 0)</f>
        <v>215000</v>
      </c>
    </row>
    <row r="7" spans="1:3" x14ac:dyDescent="0.3">
      <c r="A7" s="11" t="s">
        <v>156</v>
      </c>
      <c r="B7" s="12">
        <f>IFERROR(VLOOKUP("4.5", PL!$A:$D, 3, FALSE), 0)</f>
        <v>0</v>
      </c>
    </row>
    <row r="8" spans="1:3" x14ac:dyDescent="0.3">
      <c r="A8" s="11" t="s">
        <v>157</v>
      </c>
      <c r="B8" s="12">
        <f>SUM(B6:B7)</f>
        <v>215000</v>
      </c>
    </row>
    <row r="9" spans="1:3" x14ac:dyDescent="0.3">
      <c r="A9" s="11" t="s">
        <v>158</v>
      </c>
      <c r="B9" s="12">
        <f>IFERROR(VLOOKUP("1.3.2", BS!$A:$D, 3, FALSE), 0) - IFERROR(VLOOKUP("1.3.2", BS!$A:$D, 4, FALSE), 0)</f>
        <v>40000</v>
      </c>
    </row>
    <row r="10" spans="1:3" x14ac:dyDescent="0.3">
      <c r="A10" s="11" t="s">
        <v>159</v>
      </c>
      <c r="B10" s="12">
        <f>-(IFERROR(VLOOKUP("2.2.3", BS!$A:$D, 3, FALSE), 0) - IFERROR(VLOOKUP("2.2.3", BS!$A:$D, 4, FALSE), 0))</f>
        <v>-30000</v>
      </c>
    </row>
    <row r="11" spans="1:3" x14ac:dyDescent="0.3">
      <c r="A11" s="11" t="s">
        <v>160</v>
      </c>
      <c r="B11" s="12">
        <f>-(IFERROR(VLOOKUP("2.2.2", BS!$A:$D, 3, FALSE), 0) - IFERROR(VLOOKUP("2.2.2", BS!$A:$D, 4, FALSE), 0))</f>
        <v>-40000</v>
      </c>
    </row>
    <row r="12" spans="1:3" x14ac:dyDescent="0.3">
      <c r="A12" s="11" t="s">
        <v>161</v>
      </c>
      <c r="B12" s="28">
        <f>B8+B9+B10+B11</f>
        <v>185000</v>
      </c>
    </row>
    <row r="13" spans="1:3" x14ac:dyDescent="0.3">
      <c r="A13" s="11" t="s">
        <v>162</v>
      </c>
      <c r="B13" s="28"/>
    </row>
    <row r="14" spans="1:3" x14ac:dyDescent="0.3">
      <c r="A14" s="11" t="s">
        <v>163</v>
      </c>
      <c r="B14" s="12">
        <f>-(IFERROR(VLOOKUP("2.1.1.1", BS!$A:$D, 3, FALSE), 0) - IFERROR(VLOOKUP("2.1.1.1", BS!$A:$D, 4, FALSE), 0))</f>
        <v>-200000</v>
      </c>
    </row>
    <row r="15" spans="1:3" x14ac:dyDescent="0.3">
      <c r="A15" s="11" t="s">
        <v>164</v>
      </c>
      <c r="B15" s="28">
        <f>B14</f>
        <v>-200000</v>
      </c>
    </row>
    <row r="16" spans="1:3" x14ac:dyDescent="0.3">
      <c r="A16" s="11" t="s">
        <v>165</v>
      </c>
      <c r="B16" s="28"/>
    </row>
    <row r="17" spans="1:2" x14ac:dyDescent="0.3">
      <c r="A17" s="11" t="s">
        <v>166</v>
      </c>
      <c r="B17" s="12">
        <f>IFERROR(VLOOKUP("1.1.1", BS!$A:$D, 3, FALSE), 0) - IFERROR(VLOOKUP("1.1.1", BS!$A:$D, 4, FALSE), 0)</f>
        <v>250000</v>
      </c>
    </row>
    <row r="18" spans="1:2" x14ac:dyDescent="0.3">
      <c r="A18" s="11" t="s">
        <v>167</v>
      </c>
      <c r="B18" s="12">
        <f>IFERROR(VLOOKUP("1.2.1", BS!$A:$D, 3, FALSE), 0) - IFERROR(VLOOKUP("1.2.1", BS!$A:$D, 4, FALSE), 0)</f>
        <v>100000</v>
      </c>
    </row>
    <row r="19" spans="1:2" x14ac:dyDescent="0.3">
      <c r="A19" s="11" t="s">
        <v>168</v>
      </c>
      <c r="B19" s="28">
        <f>B17+B18</f>
        <v>350000</v>
      </c>
    </row>
    <row r="20" spans="1:2" x14ac:dyDescent="0.3">
      <c r="A20" s="11" t="s">
        <v>169</v>
      </c>
      <c r="B20" s="28">
        <f>B12+B15+B19</f>
        <v>335000</v>
      </c>
    </row>
    <row r="21" spans="1:2" x14ac:dyDescent="0.3">
      <c r="A21" s="11" t="s">
        <v>170</v>
      </c>
      <c r="B21" s="12">
        <f>IFERROR(VLOOKUP("2.2.4", BS!$A:$D, 4, FALSE), 0)</f>
        <v>227500</v>
      </c>
    </row>
    <row r="22" spans="1:2" x14ac:dyDescent="0.3">
      <c r="A22" s="11" t="s">
        <v>171</v>
      </c>
      <c r="B22" s="28">
        <f>B20+B21</f>
        <v>562500</v>
      </c>
    </row>
  </sheetData>
  <mergeCells count="1">
    <mergeCell ref="A2:C2"/>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22"/>
  <sheetViews>
    <sheetView workbookViewId="0"/>
  </sheetViews>
  <sheetFormatPr defaultRowHeight="14.4" x14ac:dyDescent="0.3"/>
  <cols>
    <col min="1" max="1" width="45" customWidth="1"/>
    <col min="2" max="5" width="15" customWidth="1"/>
    <col min="6" max="6" width="10" customWidth="1"/>
    <col min="7" max="7" width="15" customWidth="1"/>
  </cols>
  <sheetData>
    <row r="1" spans="1:7" x14ac:dyDescent="0.3">
      <c r="A1" s="7" t="str">
        <f>HYPERLINK("#Home!A1", "&lt;- Go to Dashboard")</f>
        <v>&lt;- Go to Dashboard</v>
      </c>
    </row>
    <row r="2" spans="1:7" ht="25.05" customHeight="1" x14ac:dyDescent="0.3">
      <c r="A2" s="54" t="s">
        <v>172</v>
      </c>
      <c r="B2" s="46"/>
      <c r="C2" s="46"/>
      <c r="D2" s="46"/>
      <c r="E2" s="46"/>
      <c r="F2" s="46"/>
      <c r="G2" s="46"/>
    </row>
    <row r="4" spans="1:7" ht="19.95" customHeight="1" x14ac:dyDescent="0.3">
      <c r="A4" s="58" t="s">
        <v>173</v>
      </c>
      <c r="B4" s="46"/>
      <c r="C4" s="46"/>
      <c r="D4" s="46"/>
      <c r="E4" s="46"/>
      <c r="F4" s="46"/>
      <c r="G4" s="46"/>
    </row>
    <row r="5" spans="1:7" ht="24" customHeight="1" x14ac:dyDescent="0.3">
      <c r="A5" s="29" t="s">
        <v>102</v>
      </c>
      <c r="B5" s="30" t="s">
        <v>174</v>
      </c>
      <c r="C5" s="30" t="s">
        <v>175</v>
      </c>
      <c r="D5" s="30" t="s">
        <v>176</v>
      </c>
      <c r="E5" s="30" t="s">
        <v>177</v>
      </c>
      <c r="F5" s="30" t="s">
        <v>178</v>
      </c>
      <c r="G5" s="30" t="s">
        <v>95</v>
      </c>
    </row>
    <row r="6" spans="1:7" ht="19.95" customHeight="1" x14ac:dyDescent="0.3">
      <c r="A6" s="11" t="s">
        <v>179</v>
      </c>
      <c r="B6" s="18">
        <v>0</v>
      </c>
      <c r="C6" s="18">
        <v>0</v>
      </c>
      <c r="D6" s="18">
        <v>0</v>
      </c>
      <c r="E6" s="18">
        <v>0</v>
      </c>
      <c r="F6" s="18">
        <v>0</v>
      </c>
      <c r="G6" s="31">
        <f>SUM(B6:F6)</f>
        <v>0</v>
      </c>
    </row>
    <row r="7" spans="1:7" ht="19.95" customHeight="1" x14ac:dyDescent="0.3">
      <c r="A7" s="11" t="s">
        <v>180</v>
      </c>
      <c r="B7" s="18">
        <v>0</v>
      </c>
      <c r="C7" s="18">
        <v>0</v>
      </c>
      <c r="D7" s="18">
        <v>0</v>
      </c>
      <c r="E7" s="18">
        <v>0</v>
      </c>
      <c r="F7" s="18">
        <v>0</v>
      </c>
      <c r="G7" s="31">
        <f>SUM(B7:F7)</f>
        <v>0</v>
      </c>
    </row>
    <row r="8" spans="1:7" ht="19.95" customHeight="1" x14ac:dyDescent="0.3">
      <c r="A8" s="11" t="s">
        <v>181</v>
      </c>
      <c r="B8" s="18">
        <v>0</v>
      </c>
      <c r="C8" s="18">
        <v>0</v>
      </c>
      <c r="D8" s="18">
        <v>0</v>
      </c>
      <c r="E8" s="18">
        <v>0</v>
      </c>
      <c r="F8" s="18">
        <v>0</v>
      </c>
      <c r="G8" s="31">
        <f>SUM(B8:F8)</f>
        <v>0</v>
      </c>
    </row>
    <row r="9" spans="1:7" ht="19.95" customHeight="1" x14ac:dyDescent="0.3">
      <c r="A9" s="11" t="s">
        <v>182</v>
      </c>
      <c r="B9" s="18">
        <v>0</v>
      </c>
      <c r="C9" s="18">
        <v>0</v>
      </c>
      <c r="D9" s="18">
        <v>0</v>
      </c>
      <c r="E9" s="18">
        <v>0</v>
      </c>
      <c r="F9" s="18">
        <v>0</v>
      </c>
      <c r="G9" s="31">
        <f>SUM(B9:F9)</f>
        <v>0</v>
      </c>
    </row>
    <row r="10" spans="1:7" ht="19.95" customHeight="1" x14ac:dyDescent="0.3">
      <c r="A10" s="13" t="s">
        <v>183</v>
      </c>
      <c r="B10" s="15">
        <f t="shared" ref="B10:G10" si="0">SUM(B6:B9)</f>
        <v>0</v>
      </c>
      <c r="C10" s="15">
        <f t="shared" si="0"/>
        <v>0</v>
      </c>
      <c r="D10" s="15">
        <f t="shared" si="0"/>
        <v>0</v>
      </c>
      <c r="E10" s="15">
        <f t="shared" si="0"/>
        <v>0</v>
      </c>
      <c r="F10" s="15">
        <f t="shared" si="0"/>
        <v>0</v>
      </c>
      <c r="G10" s="15">
        <f t="shared" si="0"/>
        <v>0</v>
      </c>
    </row>
    <row r="11" spans="1:7" ht="19.95" customHeight="1" x14ac:dyDescent="0.3">
      <c r="A11" s="32" t="s">
        <v>184</v>
      </c>
      <c r="G11" s="33">
        <f>IFERROR(VLOOKUP("2.2.3", BS!$A:$D, 3, FALSE), 0)</f>
        <v>60000</v>
      </c>
    </row>
    <row r="12" spans="1:7" ht="19.95" customHeight="1" x14ac:dyDescent="0.3">
      <c r="A12" s="34" t="s">
        <v>185</v>
      </c>
      <c r="G12" s="35">
        <f>G10-G11</f>
        <v>-60000</v>
      </c>
    </row>
    <row r="14" spans="1:7" ht="19.95" customHeight="1" x14ac:dyDescent="0.3">
      <c r="A14" s="58" t="s">
        <v>186</v>
      </c>
      <c r="B14" s="46"/>
      <c r="C14" s="46"/>
      <c r="D14" s="46"/>
      <c r="E14" s="46"/>
      <c r="F14" s="46"/>
      <c r="G14" s="46"/>
    </row>
    <row r="15" spans="1:7" ht="24" customHeight="1" x14ac:dyDescent="0.3">
      <c r="A15" s="29" t="s">
        <v>102</v>
      </c>
      <c r="B15" s="30" t="s">
        <v>187</v>
      </c>
      <c r="C15" s="30" t="s">
        <v>176</v>
      </c>
      <c r="D15" s="30" t="s">
        <v>177</v>
      </c>
      <c r="E15" s="30" t="s">
        <v>178</v>
      </c>
      <c r="F15" s="36"/>
      <c r="G15" s="30" t="s">
        <v>95</v>
      </c>
    </row>
    <row r="16" spans="1:7" ht="19.95" customHeight="1" x14ac:dyDescent="0.3">
      <c r="A16" s="11" t="s">
        <v>188</v>
      </c>
      <c r="B16" s="18">
        <v>0</v>
      </c>
      <c r="C16" s="18">
        <v>0</v>
      </c>
      <c r="D16" s="18">
        <v>0</v>
      </c>
      <c r="E16" s="18">
        <v>0</v>
      </c>
      <c r="F16" s="37" t="s">
        <v>189</v>
      </c>
      <c r="G16" s="31">
        <f>SUM(B16:E16)</f>
        <v>0</v>
      </c>
    </row>
    <row r="17" spans="1:7" ht="19.95" customHeight="1" x14ac:dyDescent="0.3">
      <c r="A17" s="11" t="s">
        <v>190</v>
      </c>
      <c r="B17" s="18">
        <v>0</v>
      </c>
      <c r="C17" s="18">
        <v>0</v>
      </c>
      <c r="D17" s="18">
        <v>0</v>
      </c>
      <c r="E17" s="18">
        <v>0</v>
      </c>
      <c r="F17" s="37" t="s">
        <v>189</v>
      </c>
      <c r="G17" s="31">
        <f>SUM(B17:E17)</f>
        <v>0</v>
      </c>
    </row>
    <row r="18" spans="1:7" ht="19.95" customHeight="1" x14ac:dyDescent="0.3">
      <c r="A18" s="11" t="s">
        <v>191</v>
      </c>
      <c r="B18" s="18">
        <v>0</v>
      </c>
      <c r="C18" s="18">
        <v>0</v>
      </c>
      <c r="D18" s="18">
        <v>0</v>
      </c>
      <c r="E18" s="18">
        <v>0</v>
      </c>
      <c r="F18" s="37" t="s">
        <v>189</v>
      </c>
      <c r="G18" s="31">
        <f>SUM(B18:E18)</f>
        <v>0</v>
      </c>
    </row>
    <row r="19" spans="1:7" ht="19.95" customHeight="1" x14ac:dyDescent="0.3">
      <c r="A19" s="11" t="s">
        <v>192</v>
      </c>
      <c r="B19" s="18">
        <v>0</v>
      </c>
      <c r="C19" s="18">
        <v>0</v>
      </c>
      <c r="D19" s="18">
        <v>0</v>
      </c>
      <c r="E19" s="18">
        <v>0</v>
      </c>
      <c r="F19" s="37" t="s">
        <v>189</v>
      </c>
      <c r="G19" s="31">
        <f>SUM(B19:E19)</f>
        <v>0</v>
      </c>
    </row>
    <row r="20" spans="1:7" ht="19.95" customHeight="1" x14ac:dyDescent="0.3">
      <c r="A20" s="13" t="s">
        <v>193</v>
      </c>
      <c r="B20" s="15">
        <f>SUM(B16:B19)</f>
        <v>0</v>
      </c>
      <c r="C20" s="15">
        <f>SUM(C16:C19)</f>
        <v>0</v>
      </c>
      <c r="D20" s="15">
        <f>SUM(D16:D19)</f>
        <v>0</v>
      </c>
      <c r="E20" s="15">
        <f>SUM(E16:E19)</f>
        <v>0</v>
      </c>
      <c r="F20" s="38" t="s">
        <v>189</v>
      </c>
      <c r="G20" s="15">
        <f>SUM(G16:G19)</f>
        <v>0</v>
      </c>
    </row>
    <row r="21" spans="1:7" ht="19.95" customHeight="1" x14ac:dyDescent="0.3">
      <c r="A21" s="32" t="s">
        <v>184</v>
      </c>
      <c r="G21" s="33">
        <f>IFERROR(VLOOKUP("1.3.2", BS!$A:$D, 3, FALSE), 0)</f>
        <v>80000</v>
      </c>
    </row>
    <row r="22" spans="1:7" ht="19.95" customHeight="1" x14ac:dyDescent="0.3">
      <c r="A22" s="34" t="s">
        <v>185</v>
      </c>
      <c r="G22" s="35">
        <f>G20-G21</f>
        <v>-80000</v>
      </c>
    </row>
  </sheetData>
  <mergeCells count="3">
    <mergeCell ref="A14:G14"/>
    <mergeCell ref="A2:G2"/>
    <mergeCell ref="A4:G4"/>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12"/>
  <sheetViews>
    <sheetView workbookViewId="0"/>
  </sheetViews>
  <sheetFormatPr defaultRowHeight="14.4" x14ac:dyDescent="0.3"/>
  <sheetData>
    <row r="1" spans="1:1" x14ac:dyDescent="0.3">
      <c r="A1" s="7" t="str">
        <f>HYPERLINK("#Home!A1", "&lt;- Go to Dashboard")</f>
        <v>&lt;- Go to Dashboard</v>
      </c>
    </row>
    <row r="3" spans="1:1" ht="15.6" x14ac:dyDescent="0.3">
      <c r="A3" s="39" t="s">
        <v>194</v>
      </c>
    </row>
    <row r="5" spans="1:1" x14ac:dyDescent="0.3">
      <c r="A5" s="21" t="s">
        <v>195</v>
      </c>
    </row>
    <row r="6" spans="1:1" x14ac:dyDescent="0.3">
      <c r="A6" s="21" t="s">
        <v>196</v>
      </c>
    </row>
    <row r="7" spans="1:1" x14ac:dyDescent="0.3">
      <c r="A7" s="21"/>
    </row>
    <row r="8" spans="1:1" x14ac:dyDescent="0.3">
      <c r="A8" s="21" t="s">
        <v>197</v>
      </c>
    </row>
    <row r="9" spans="1:1" x14ac:dyDescent="0.3">
      <c r="A9" s="21" t="s">
        <v>198</v>
      </c>
    </row>
    <row r="10" spans="1:1" x14ac:dyDescent="0.3">
      <c r="A10" s="21"/>
    </row>
    <row r="11" spans="1:1" x14ac:dyDescent="0.3">
      <c r="A11" s="21" t="s">
        <v>199</v>
      </c>
    </row>
    <row r="12" spans="1:1" x14ac:dyDescent="0.3">
      <c r="A12" s="21" t="s">
        <v>200</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17"/>
  <sheetViews>
    <sheetView workbookViewId="0"/>
  </sheetViews>
  <sheetFormatPr defaultRowHeight="14.4" x14ac:dyDescent="0.3"/>
  <sheetData>
    <row r="1" spans="1:3" x14ac:dyDescent="0.3">
      <c r="A1" s="7" t="str">
        <f>HYPERLINK("#Home!A1", "&lt;- Go to Dashboard")</f>
        <v>&lt;- Go to Dashboard</v>
      </c>
    </row>
    <row r="4" spans="1:3" x14ac:dyDescent="0.3">
      <c r="A4" s="40" t="s">
        <v>201</v>
      </c>
    </row>
    <row r="5" spans="1:3" x14ac:dyDescent="0.3">
      <c r="A5" s="17" t="s">
        <v>38</v>
      </c>
      <c r="B5" s="17" t="s">
        <v>202</v>
      </c>
      <c r="C5" s="17" t="s">
        <v>153</v>
      </c>
    </row>
    <row r="6" spans="1:3" x14ac:dyDescent="0.3">
      <c r="A6" s="11" t="s">
        <v>47</v>
      </c>
      <c r="B6" s="11" t="s">
        <v>48</v>
      </c>
      <c r="C6" s="12">
        <f>IFERROR(VLOOKUP(A6, TB!$A:$O, 11, FALSE), 0) / BD!$B$8</f>
        <v>-500000</v>
      </c>
    </row>
    <row r="7" spans="1:3" x14ac:dyDescent="0.3">
      <c r="A7" s="41"/>
      <c r="B7" s="41" t="s">
        <v>203</v>
      </c>
      <c r="C7" s="42">
        <f>SUM(C6:C6)</f>
        <v>-500000</v>
      </c>
    </row>
    <row r="9" spans="1:3" x14ac:dyDescent="0.3">
      <c r="A9" s="40" t="s">
        <v>204</v>
      </c>
    </row>
    <row r="10" spans="1:3" x14ac:dyDescent="0.3">
      <c r="A10" s="17" t="s">
        <v>38</v>
      </c>
      <c r="B10" s="17" t="s">
        <v>202</v>
      </c>
      <c r="C10" s="17" t="s">
        <v>153</v>
      </c>
    </row>
    <row r="11" spans="1:3" x14ac:dyDescent="0.3">
      <c r="A11" s="11" t="s">
        <v>52</v>
      </c>
      <c r="B11" s="11" t="s">
        <v>53</v>
      </c>
      <c r="C11" s="12">
        <f>IFERROR(VLOOKUP(A11, TB!$A:$O, 11, FALSE), 0) / BD!$B$8</f>
        <v>-107500</v>
      </c>
    </row>
    <row r="12" spans="1:3" x14ac:dyDescent="0.3">
      <c r="A12" s="41"/>
      <c r="B12" s="41" t="s">
        <v>205</v>
      </c>
      <c r="C12" s="42">
        <f>SUM(C11:C11)</f>
        <v>-107500</v>
      </c>
    </row>
    <row r="14" spans="1:3" x14ac:dyDescent="0.3">
      <c r="A14" s="40" t="s">
        <v>206</v>
      </c>
    </row>
    <row r="15" spans="1:3" x14ac:dyDescent="0.3">
      <c r="A15" s="17" t="s">
        <v>38</v>
      </c>
      <c r="B15" s="17" t="s">
        <v>202</v>
      </c>
      <c r="C15" s="17" t="s">
        <v>153</v>
      </c>
    </row>
    <row r="16" spans="1:3" x14ac:dyDescent="0.3">
      <c r="A16" s="11" t="s">
        <v>60</v>
      </c>
      <c r="B16" s="11" t="s">
        <v>61</v>
      </c>
      <c r="C16" s="12">
        <f>IFERROR(VLOOKUP(A16, TB!$A:$O, 11, FALSE), 0) / BD!$B$8</f>
        <v>-80000</v>
      </c>
    </row>
    <row r="17" spans="1:3" x14ac:dyDescent="0.3">
      <c r="A17" s="41"/>
      <c r="B17" s="41" t="s">
        <v>193</v>
      </c>
      <c r="C17" s="42">
        <f>SUM(C16:C16)</f>
        <v>-80000</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7"/>
  <sheetViews>
    <sheetView workbookViewId="0"/>
  </sheetViews>
  <sheetFormatPr defaultRowHeight="14.4" x14ac:dyDescent="0.3"/>
  <sheetData>
    <row r="1" spans="1:3" x14ac:dyDescent="0.3">
      <c r="A1" s="7" t="str">
        <f>HYPERLINK("#Home!A1", "&lt;- Go to Dashboard")</f>
        <v>&lt;- Go to Dashboard</v>
      </c>
    </row>
    <row r="4" spans="1:3" x14ac:dyDescent="0.3">
      <c r="A4" s="40" t="s">
        <v>207</v>
      </c>
    </row>
    <row r="5" spans="1:3" x14ac:dyDescent="0.3">
      <c r="A5" s="17" t="s">
        <v>38</v>
      </c>
      <c r="B5" s="17" t="s">
        <v>202</v>
      </c>
      <c r="C5" s="17" t="s">
        <v>153</v>
      </c>
    </row>
    <row r="6" spans="1:3" x14ac:dyDescent="0.3">
      <c r="A6" s="11" t="s">
        <v>64</v>
      </c>
      <c r="B6" s="11" t="s">
        <v>65</v>
      </c>
      <c r="C6" s="12">
        <f>IFERROR(VLOOKUP(A6, TB!$A:$O, 11, FALSE), 0) / BD!$B$8</f>
        <v>400000</v>
      </c>
    </row>
    <row r="7" spans="1:3" x14ac:dyDescent="0.3">
      <c r="A7" s="41"/>
      <c r="B7" s="41" t="s">
        <v>208</v>
      </c>
      <c r="C7" s="42">
        <f>SUM(C6:C6)</f>
        <v>400000</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12"/>
  <sheetViews>
    <sheetView workbookViewId="0"/>
  </sheetViews>
  <sheetFormatPr defaultRowHeight="14.4" x14ac:dyDescent="0.3"/>
  <sheetData>
    <row r="1" spans="1:3" x14ac:dyDescent="0.3">
      <c r="A1" s="7" t="str">
        <f>HYPERLINK("#Home!A1", "&lt;- Go to Dashboard")</f>
        <v>&lt;- Go to Dashboard</v>
      </c>
    </row>
    <row r="4" spans="1:3" x14ac:dyDescent="0.3">
      <c r="A4" s="40" t="s">
        <v>209</v>
      </c>
    </row>
    <row r="5" spans="1:3" x14ac:dyDescent="0.3">
      <c r="A5" s="17" t="s">
        <v>38</v>
      </c>
      <c r="B5" s="17" t="s">
        <v>202</v>
      </c>
      <c r="C5" s="17" t="s">
        <v>153</v>
      </c>
    </row>
    <row r="6" spans="1:3" x14ac:dyDescent="0.3">
      <c r="A6" s="11" t="s">
        <v>73</v>
      </c>
      <c r="B6" s="11" t="s">
        <v>74</v>
      </c>
      <c r="C6" s="12">
        <f>IFERROR(VLOOKUP(A6, TB!$A:$O, 11, FALSE), 0) / BD!$B$8</f>
        <v>60000</v>
      </c>
    </row>
    <row r="7" spans="1:3" x14ac:dyDescent="0.3">
      <c r="A7" s="41"/>
      <c r="B7" s="41" t="s">
        <v>183</v>
      </c>
      <c r="C7" s="42">
        <f>SUM(C6:C6)</f>
        <v>60000</v>
      </c>
    </row>
    <row r="9" spans="1:3" x14ac:dyDescent="0.3">
      <c r="A9" s="40" t="s">
        <v>210</v>
      </c>
    </row>
    <row r="10" spans="1:3" x14ac:dyDescent="0.3">
      <c r="A10" s="17" t="s">
        <v>38</v>
      </c>
      <c r="B10" s="17" t="s">
        <v>202</v>
      </c>
      <c r="C10" s="17" t="s">
        <v>153</v>
      </c>
    </row>
    <row r="11" spans="1:3" x14ac:dyDescent="0.3">
      <c r="A11" s="11" t="s">
        <v>69</v>
      </c>
      <c r="B11" s="11" t="s">
        <v>70</v>
      </c>
      <c r="C11" s="12">
        <f>IFERROR(VLOOKUP(A11, TB!$A:$O, 11, FALSE), 0) / BD!$B$8</f>
        <v>562500</v>
      </c>
    </row>
    <row r="12" spans="1:3" x14ac:dyDescent="0.3">
      <c r="A12" s="41"/>
      <c r="B12" s="41" t="s">
        <v>211</v>
      </c>
      <c r="C12" s="42">
        <f>SUM(C11:C11)</f>
        <v>562500</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C12"/>
  <sheetViews>
    <sheetView workbookViewId="0"/>
  </sheetViews>
  <sheetFormatPr defaultRowHeight="14.4" x14ac:dyDescent="0.3"/>
  <sheetData>
    <row r="1" spans="1:3" x14ac:dyDescent="0.3">
      <c r="A1" s="7" t="str">
        <f>HYPERLINK("#Home!A1", "&lt;- Go to Dashboard")</f>
        <v>&lt;- Go to Dashboard</v>
      </c>
    </row>
    <row r="4" spans="1:3" x14ac:dyDescent="0.3">
      <c r="A4" s="40" t="s">
        <v>212</v>
      </c>
    </row>
    <row r="5" spans="1:3" x14ac:dyDescent="0.3">
      <c r="A5" s="17" t="s">
        <v>38</v>
      </c>
      <c r="B5" s="17" t="s">
        <v>202</v>
      </c>
      <c r="C5" s="17" t="s">
        <v>153</v>
      </c>
    </row>
    <row r="6" spans="1:3" x14ac:dyDescent="0.3">
      <c r="A6" s="11" t="s">
        <v>79</v>
      </c>
      <c r="B6" s="11" t="s">
        <v>80</v>
      </c>
      <c r="C6" s="12">
        <f>IFERROR(VLOOKUP(A6, TB!$A:$O, 11, FALSE), 0) / BD!$B$8</f>
        <v>-400000</v>
      </c>
    </row>
    <row r="7" spans="1:3" x14ac:dyDescent="0.3">
      <c r="A7" s="41"/>
      <c r="B7" s="41" t="s">
        <v>213</v>
      </c>
      <c r="C7" s="42">
        <f>SUM(C6:C6)</f>
        <v>-400000</v>
      </c>
    </row>
    <row r="9" spans="1:3" x14ac:dyDescent="0.3">
      <c r="A9" s="40" t="s">
        <v>214</v>
      </c>
    </row>
    <row r="10" spans="1:3" x14ac:dyDescent="0.3">
      <c r="A10" s="17" t="s">
        <v>38</v>
      </c>
      <c r="B10" s="17" t="s">
        <v>202</v>
      </c>
      <c r="C10" s="17" t="s">
        <v>153</v>
      </c>
    </row>
    <row r="11" spans="1:3" x14ac:dyDescent="0.3">
      <c r="A11" s="11" t="s">
        <v>84</v>
      </c>
      <c r="B11" s="11" t="s">
        <v>85</v>
      </c>
      <c r="C11" s="12">
        <f>IFERROR(VLOOKUP(A11, TB!$A:$O, 11, FALSE), 0) / BD!$B$8</f>
        <v>150000</v>
      </c>
    </row>
    <row r="12" spans="1:3" x14ac:dyDescent="0.3">
      <c r="A12" s="41"/>
      <c r="B12" s="41" t="s">
        <v>215</v>
      </c>
      <c r="C12" s="42">
        <f>SUM(C11:C11)</f>
        <v>150000</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7"/>
  <sheetViews>
    <sheetView workbookViewId="0"/>
  </sheetViews>
  <sheetFormatPr defaultRowHeight="14.4" x14ac:dyDescent="0.3"/>
  <cols>
    <col min="1" max="1" width="25" customWidth="1"/>
    <col min="2" max="2" width="35" customWidth="1"/>
    <col min="3" max="3" width="15" customWidth="1"/>
  </cols>
  <sheetData>
    <row r="1" spans="1:3" x14ac:dyDescent="0.3">
      <c r="A1" s="7" t="str">
        <f>HYPERLINK("#Home!A1", "&lt;- Go to Dashboard")</f>
        <v>&lt;- Go to Dashboard</v>
      </c>
    </row>
    <row r="3" spans="1:3" ht="15.6" x14ac:dyDescent="0.3">
      <c r="A3" s="39" t="s">
        <v>216</v>
      </c>
    </row>
    <row r="5" spans="1:3" x14ac:dyDescent="0.3">
      <c r="A5" s="17" t="s">
        <v>217</v>
      </c>
      <c r="B5" s="17" t="s">
        <v>218</v>
      </c>
      <c r="C5" s="17" t="s">
        <v>219</v>
      </c>
    </row>
    <row r="6" spans="1:3" x14ac:dyDescent="0.3">
      <c r="A6" s="11" t="s">
        <v>220</v>
      </c>
      <c r="B6" s="11" t="s">
        <v>221</v>
      </c>
      <c r="C6" s="43">
        <f>IFERROR(IFERROR(VLOOKUP("2.2", BS!$A:$D, 3, FALSE), 0)/IFERROR(VLOOKUP("1.3", BS!$A:$D, 3, FALSE), 1), 0)</f>
        <v>8.78125</v>
      </c>
    </row>
    <row r="7" spans="1:3" x14ac:dyDescent="0.3">
      <c r="A7" s="11" t="s">
        <v>222</v>
      </c>
      <c r="B7" s="11" t="s">
        <v>223</v>
      </c>
      <c r="C7" s="43">
        <f>IFERROR(IFERROR(VLOOKUP("1.2", BS!$A:$D, 3, FALSE), 0)/IFERROR(VLOOKUP("1.1", BS!$A:$D, 3, FALSE), 1), 0)</f>
        <v>0.24316109422492402</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C27"/>
  <sheetViews>
    <sheetView workbookViewId="0"/>
  </sheetViews>
  <sheetFormatPr defaultRowHeight="14.4" x14ac:dyDescent="0.3"/>
  <cols>
    <col min="1" max="1" width="30" customWidth="1"/>
    <col min="2" max="3" width="20" customWidth="1"/>
    <col min="5" max="5" width="20" customWidth="1"/>
  </cols>
  <sheetData>
    <row r="1" spans="1:3" x14ac:dyDescent="0.3">
      <c r="A1" s="7" t="str">
        <f>HYPERLINK("#Home!A1", "&lt;- Go to Dashboard")</f>
        <v>&lt;- Go to Dashboard</v>
      </c>
    </row>
    <row r="2" spans="1:3" ht="18" x14ac:dyDescent="0.35">
      <c r="A2" s="61" t="s">
        <v>224</v>
      </c>
      <c r="B2" s="46"/>
      <c r="C2" s="46"/>
    </row>
    <row r="3" spans="1:3" x14ac:dyDescent="0.3">
      <c r="A3" s="60" t="s">
        <v>225</v>
      </c>
      <c r="B3" s="46"/>
      <c r="C3" s="46"/>
    </row>
    <row r="4" spans="1:3" x14ac:dyDescent="0.3">
      <c r="A4" s="59" t="s">
        <v>226</v>
      </c>
      <c r="B4" s="46"/>
      <c r="C4" s="46"/>
    </row>
    <row r="5" spans="1:3" x14ac:dyDescent="0.3">
      <c r="A5" s="44" t="s">
        <v>227</v>
      </c>
      <c r="B5" s="44" t="s">
        <v>228</v>
      </c>
      <c r="C5" s="44" t="s">
        <v>229</v>
      </c>
    </row>
    <row r="6" spans="1:3" x14ac:dyDescent="0.3">
      <c r="A6" s="11" t="s">
        <v>51</v>
      </c>
      <c r="B6" s="12">
        <f>IFERROR(VLOOKUP("1.1.1", BS!$A:$D, 3, FALSE), 0)</f>
        <v>500000</v>
      </c>
      <c r="C6" s="12">
        <f>IFERROR(VLOOKUP("1.1.1", BS!$A:$D, 4, FALSE), 0)</f>
        <v>250000</v>
      </c>
    </row>
    <row r="7" spans="1:3" x14ac:dyDescent="0.3">
      <c r="A7" s="11" t="s">
        <v>54</v>
      </c>
      <c r="B7" s="12">
        <f>IFERROR(VLOOKUP("1.1.2", BS!$A:$D, 3, FALSE), 0)</f>
        <v>322500</v>
      </c>
      <c r="C7" s="12">
        <f>IFERROR(VLOOKUP("1.1.2", BS!$A:$D, 4, FALSE), 0)</f>
        <v>107500</v>
      </c>
    </row>
    <row r="8" spans="1:3" x14ac:dyDescent="0.3">
      <c r="A8" s="11" t="s">
        <v>230</v>
      </c>
      <c r="B8" s="12">
        <f>IFERROR(VLOOKUP("1.2.1", BS!$A:$D, 3, FALSE), 0)</f>
        <v>200000</v>
      </c>
      <c r="C8" s="12">
        <f>IFERROR(VLOOKUP("1.2.1", BS!$A:$D, 4, FALSE), 0)</f>
        <v>100000</v>
      </c>
    </row>
    <row r="9" spans="1:3" x14ac:dyDescent="0.3">
      <c r="A9" s="11" t="s">
        <v>231</v>
      </c>
      <c r="B9" s="12">
        <f>IFERROR(VLOOKUP("1.3.1", BS!$A:$D, 3, FALSE), 0)</f>
        <v>0</v>
      </c>
      <c r="C9" s="12">
        <f>IFERROR(VLOOKUP("1.3.1", BS!$A:$D, 4, FALSE), 0)</f>
        <v>0</v>
      </c>
    </row>
    <row r="10" spans="1:3" x14ac:dyDescent="0.3">
      <c r="A10" s="11" t="s">
        <v>232</v>
      </c>
      <c r="B10" s="12">
        <f>IFERROR(VLOOKUP("1.3.2", BS!$A:$D, 3, FALSE), 0)</f>
        <v>80000</v>
      </c>
      <c r="C10" s="12">
        <f>IFERROR(VLOOKUP("1.3.2", BS!$A:$D, 4, FALSE), 0)</f>
        <v>40000</v>
      </c>
    </row>
    <row r="11" spans="1:3" x14ac:dyDescent="0.3">
      <c r="A11" s="11" t="s">
        <v>233</v>
      </c>
      <c r="B11" s="12">
        <f>IFERROR(VLOOKUP("1.3.3", BS!$A:$D, 3, FALSE), 0)</f>
        <v>0</v>
      </c>
      <c r="C11" s="12">
        <f>IFERROR(VLOOKUP("1.3.3", BS!$A:$D, 4, FALSE), 0)</f>
        <v>0</v>
      </c>
    </row>
    <row r="12" spans="1:3" x14ac:dyDescent="0.3">
      <c r="A12" s="11" t="s">
        <v>234</v>
      </c>
      <c r="B12" s="12">
        <f>IFERROR(VLOOKUP("1.3.4", BS!$A:$D, 3, FALSE), 0)</f>
        <v>0</v>
      </c>
      <c r="C12" s="12">
        <f>IFERROR(VLOOKUP("1.3.4", BS!$A:$D, 4, FALSE), 0)</f>
        <v>0</v>
      </c>
    </row>
    <row r="13" spans="1:3" x14ac:dyDescent="0.3">
      <c r="A13" s="11" t="s">
        <v>68</v>
      </c>
      <c r="B13" s="12">
        <f>IFERROR(VLOOKUP("2.1.1.1", BS!$A:$D, 3, FALSE), 0)</f>
        <v>400000</v>
      </c>
      <c r="C13" s="12">
        <f>IFERROR(VLOOKUP("2.1.1.1", BS!$A:$D, 4, FALSE), 0)</f>
        <v>200000</v>
      </c>
    </row>
    <row r="14" spans="1:3" x14ac:dyDescent="0.3">
      <c r="A14" s="11" t="s">
        <v>235</v>
      </c>
      <c r="B14" s="12">
        <f>IFERROR(VLOOKUP("2.1.1.2", BS!$A:$D, 3, FALSE), 0)</f>
        <v>0</v>
      </c>
      <c r="C14" s="12">
        <f>IFERROR(VLOOKUP("2.1.1.2", BS!$A:$D, 4, FALSE), 0)</f>
        <v>0</v>
      </c>
    </row>
    <row r="15" spans="1:3" x14ac:dyDescent="0.3">
      <c r="A15" s="11" t="s">
        <v>236</v>
      </c>
      <c r="B15" s="12">
        <f>IFERROR(VLOOKUP("2.1.2", BS!$A:$D, 3, FALSE), 0)</f>
        <v>0</v>
      </c>
      <c r="C15" s="12">
        <f>IFERROR(VLOOKUP("2.1.2", BS!$A:$D, 4, FALSE), 0)</f>
        <v>0</v>
      </c>
    </row>
    <row r="16" spans="1:3" x14ac:dyDescent="0.3">
      <c r="A16" s="11" t="s">
        <v>237</v>
      </c>
      <c r="B16" s="12">
        <f>IFERROR(VLOOKUP("2.2.3", BS!$A:$D, 3, FALSE), 0)</f>
        <v>60000</v>
      </c>
      <c r="C16" s="12">
        <f>IFERROR(VLOOKUP("2.2.3", BS!$A:$D, 4, FALSE), 0)</f>
        <v>30000</v>
      </c>
    </row>
    <row r="17" spans="1:3" x14ac:dyDescent="0.3">
      <c r="A17" s="11" t="s">
        <v>238</v>
      </c>
      <c r="B17" s="12">
        <f>IFERROR(VLOOKUP("2.2.4", BS!$A:$D, 3, FALSE), 0)</f>
        <v>562500</v>
      </c>
      <c r="C17" s="12">
        <f>IFERROR(VLOOKUP("2.2.4", BS!$A:$D, 4, FALSE), 0)</f>
        <v>227500</v>
      </c>
    </row>
    <row r="18" spans="1:3" x14ac:dyDescent="0.3">
      <c r="A18" s="11" t="s">
        <v>239</v>
      </c>
      <c r="B18" s="12">
        <f>IFERROR(VLOOKUP("2.2.5", BS!$A:$D, 3, FALSE), 0)</f>
        <v>0</v>
      </c>
      <c r="C18" s="12">
        <f>IFERROR(VLOOKUP("2.2.5", BS!$A:$D, 4, FALSE), 0)</f>
        <v>0</v>
      </c>
    </row>
    <row r="19" spans="1:3" x14ac:dyDescent="0.3">
      <c r="A19" s="11" t="s">
        <v>240</v>
      </c>
      <c r="B19" s="12">
        <f>IFERROR(VLOOKUP("2.2.6", BS!$A:$D, 3, FALSE), 0)</f>
        <v>0</v>
      </c>
      <c r="C19" s="12">
        <f>IFERROR(VLOOKUP("2.2.6", BS!$A:$D, 4, FALSE), 0)</f>
        <v>0</v>
      </c>
    </row>
    <row r="20" spans="1:3" x14ac:dyDescent="0.3">
      <c r="A20" s="11" t="s">
        <v>241</v>
      </c>
      <c r="B20" s="12">
        <f>IFERROR(VLOOKUP("3.1", PL!$A:$D, 3, FALSE), 0)</f>
        <v>400000</v>
      </c>
      <c r="C20" s="12">
        <f>IFERROR(VLOOKUP("3.1", PL!$A:$D, 4, FALSE), 0)</f>
        <v>200000</v>
      </c>
    </row>
    <row r="21" spans="1:3" x14ac:dyDescent="0.3">
      <c r="A21" s="11" t="s">
        <v>242</v>
      </c>
      <c r="B21" s="12">
        <f>IFERROR(VLOOKUP("3.2", PL!$A:$D, 3, FALSE), 0)</f>
        <v>0</v>
      </c>
      <c r="C21" s="12">
        <f>IFERROR(VLOOKUP("3.2", PL!$A:$D, 4, FALSE), 0)</f>
        <v>0</v>
      </c>
    </row>
    <row r="22" spans="1:3" x14ac:dyDescent="0.3">
      <c r="A22" s="11" t="s">
        <v>243</v>
      </c>
      <c r="B22" s="12">
        <f>IFERROR(VLOOKUP("4.1", PL!$A:$D, 3, FALSE), 0)</f>
        <v>0</v>
      </c>
      <c r="C22" s="12">
        <f>IFERROR(VLOOKUP("4.1", PL!$A:$D, 4, FALSE), 0)</f>
        <v>0</v>
      </c>
    </row>
    <row r="23" spans="1:3" x14ac:dyDescent="0.3">
      <c r="A23" s="11" t="s">
        <v>146</v>
      </c>
      <c r="B23" s="12">
        <f>IFERROR(VLOOKUP("4.2", PL!$A:$D, 3, FALSE), 0)</f>
        <v>0</v>
      </c>
      <c r="C23" s="12">
        <f>IFERROR(VLOOKUP("4.2", PL!$A:$D, 4, FALSE), 0)</f>
        <v>0</v>
      </c>
    </row>
    <row r="24" spans="1:3" x14ac:dyDescent="0.3">
      <c r="A24" s="11" t="s">
        <v>244</v>
      </c>
      <c r="B24" s="12">
        <f>IFERROR(VLOOKUP("4.3", PL!$A:$D, 3, FALSE), 0)</f>
        <v>150000</v>
      </c>
      <c r="C24" s="12">
        <f>IFERROR(VLOOKUP("4.3", PL!$A:$D, 4, FALSE), 0)</f>
        <v>75000</v>
      </c>
    </row>
    <row r="25" spans="1:3" x14ac:dyDescent="0.3">
      <c r="A25" s="11" t="s">
        <v>245</v>
      </c>
      <c r="B25" s="12">
        <f>IFERROR(VLOOKUP("4.4", PL!$A:$D, 3, FALSE), 0)</f>
        <v>15000</v>
      </c>
      <c r="C25" s="12">
        <f>IFERROR(VLOOKUP("4.4", PL!$A:$D, 4, FALSE), 0)</f>
        <v>7500</v>
      </c>
    </row>
    <row r="26" spans="1:3" x14ac:dyDescent="0.3">
      <c r="A26" s="11" t="s">
        <v>246</v>
      </c>
      <c r="B26" s="12">
        <f>IFERROR(VLOOKUP("4.5", PL!$A:$D, 3, FALSE), 0)</f>
        <v>0</v>
      </c>
      <c r="C26" s="12">
        <f>IFERROR(VLOOKUP("4.5", PL!$A:$D, 4, FALSE), 0)</f>
        <v>0</v>
      </c>
    </row>
    <row r="27" spans="1:3" x14ac:dyDescent="0.3">
      <c r="A27" s="11" t="s">
        <v>247</v>
      </c>
      <c r="B27" s="12">
        <f>IFERROR(VLOOKUP("4.6", PL!$A:$D, 3, FALSE), 0)</f>
        <v>20000</v>
      </c>
      <c r="C27" s="12">
        <f>IFERROR(VLOOKUP("4.6", PL!$A:$D, 4, FALSE), 0)</f>
        <v>10000</v>
      </c>
    </row>
  </sheetData>
  <mergeCells count="3">
    <mergeCell ref="A4:C4"/>
    <mergeCell ref="A3:C3"/>
    <mergeCell ref="A2:C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ExportToCompuTax">
                <anchor moveWithCells="1" sizeWithCells="1">
                  <from>
                    <xdr:col>4</xdr:col>
                    <xdr:colOff>60960</xdr:colOff>
                    <xdr:row>1</xdr:row>
                    <xdr:rowOff>0</xdr:rowOff>
                  </from>
                  <to>
                    <xdr:col>4</xdr:col>
                    <xdr:colOff>1303020</xdr:colOff>
                    <xdr:row>3</xdr:row>
                    <xdr:rowOff>0</xdr:rowOff>
                  </to>
                </anchor>
              </controlPr>
            </control>
          </mc:Choice>
        </mc:AlternateContent>
        <mc:AlternateContent xmlns:mc="http://schemas.openxmlformats.org/markup-compatibility/2006">
          <mc:Choice Requires="x14">
            <control shapeId="4098" r:id="rId4" name="Button 2">
              <controlPr defaultSize="0" print="0" autoFill="0" autoPict="0" macro="ExportToWinman">
                <anchor moveWithCells="1" sizeWithCells="1">
                  <from>
                    <xdr:col>4</xdr:col>
                    <xdr:colOff>60960</xdr:colOff>
                    <xdr:row>3</xdr:row>
                    <xdr:rowOff>0</xdr:rowOff>
                  </from>
                  <to>
                    <xdr:col>4</xdr:col>
                    <xdr:colOff>1303020</xdr:colOff>
                    <xdr:row>4</xdr:row>
                    <xdr:rowOff>144780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D8"/>
  <sheetViews>
    <sheetView workbookViewId="0"/>
  </sheetViews>
  <sheetFormatPr defaultRowHeight="14.4" x14ac:dyDescent="0.3"/>
  <cols>
    <col min="1" max="1" width="45" customWidth="1"/>
    <col min="2" max="3" width="18" customWidth="1"/>
    <col min="4" max="4" width="15" customWidth="1"/>
  </cols>
  <sheetData>
    <row r="1" spans="1:4" x14ac:dyDescent="0.3">
      <c r="A1" s="7" t="str">
        <f>HYPERLINK("#Home!A1", "&lt;- Go to Dashboard")</f>
        <v>&lt;- Go to Dashboard</v>
      </c>
    </row>
    <row r="3" spans="1:4" ht="18" x14ac:dyDescent="0.35">
      <c r="A3" s="16" t="s">
        <v>248</v>
      </c>
    </row>
    <row r="5" spans="1:4" x14ac:dyDescent="0.3">
      <c r="A5" s="17" t="s">
        <v>249</v>
      </c>
      <c r="B5" s="17" t="s">
        <v>250</v>
      </c>
      <c r="C5" s="17" t="s">
        <v>251</v>
      </c>
      <c r="D5" s="17" t="s">
        <v>252</v>
      </c>
    </row>
    <row r="6" spans="1:4" x14ac:dyDescent="0.3">
      <c r="A6" s="11" t="s">
        <v>253</v>
      </c>
      <c r="B6" s="12">
        <f>SUMIF(TB!$K$6:$K$500, "&gt;0")</f>
        <v>1287500</v>
      </c>
      <c r="C6" s="12">
        <f>-SUMIF(TB!$K$6:$K$500, "&lt;0")</f>
        <v>1287500</v>
      </c>
      <c r="D6" s="8" t="str">
        <f>IF(ROUND(B6-C6,2)=0, "PASS", "FAIL")</f>
        <v>PASS</v>
      </c>
    </row>
    <row r="7" spans="1:4" x14ac:dyDescent="0.3">
      <c r="A7" s="11" t="s">
        <v>254</v>
      </c>
      <c r="B7" s="12">
        <f>IFERROR(VLOOKUP("2", BS!$A:$D, 3, FALSE), 0)</f>
        <v>1102500</v>
      </c>
      <c r="C7" s="12">
        <f>IFERROR(VLOOKUP("1", BS!$A:$D, 3, FALSE), 0)</f>
        <v>1102500</v>
      </c>
      <c r="D7" s="8" t="str">
        <f>IF(ROUND(B7-C7,2)=0, "PASS", "FAIL")</f>
        <v>PASS</v>
      </c>
    </row>
    <row r="8" spans="1:4" x14ac:dyDescent="0.3">
      <c r="A8" s="11" t="s">
        <v>255</v>
      </c>
      <c r="B8" s="12">
        <f>IFERROR(VLOOKUP("Closing Cash &amp; Cash Equivalents", CF!$A:$B, 2, FALSE), 0)</f>
        <v>562500</v>
      </c>
      <c r="C8" s="12">
        <f>IFERROR(VLOOKUP("2.2.4", BS!$A:$D, 3, FALSE), 0)</f>
        <v>562500</v>
      </c>
      <c r="D8" s="8" t="str">
        <f>IF(ROUND(B8-C8,2)=0, "PASS", "FAIL")</f>
        <v>PASS</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D35"/>
  <sheetViews>
    <sheetView workbookViewId="0"/>
  </sheetViews>
  <sheetFormatPr defaultRowHeight="14.4" x14ac:dyDescent="0.3"/>
  <sheetData>
    <row r="1" spans="1:4" x14ac:dyDescent="0.3">
      <c r="A1" s="8" t="s">
        <v>101</v>
      </c>
      <c r="B1" s="8" t="s">
        <v>256</v>
      </c>
      <c r="C1" s="8" t="s">
        <v>43</v>
      </c>
      <c r="D1" s="8" t="s">
        <v>257</v>
      </c>
    </row>
    <row r="2" spans="1:4" x14ac:dyDescent="0.3">
      <c r="A2" s="6" t="s">
        <v>103</v>
      </c>
      <c r="B2" s="6" t="s">
        <v>258</v>
      </c>
      <c r="C2" s="6" t="s">
        <v>259</v>
      </c>
      <c r="D2" s="6" t="s">
        <v>260</v>
      </c>
    </row>
    <row r="3" spans="1:4" x14ac:dyDescent="0.3">
      <c r="A3" s="6" t="s">
        <v>104</v>
      </c>
      <c r="B3" s="6" t="s">
        <v>50</v>
      </c>
      <c r="C3" s="6" t="s">
        <v>259</v>
      </c>
      <c r="D3" s="6" t="s">
        <v>260</v>
      </c>
    </row>
    <row r="4" spans="1:4" x14ac:dyDescent="0.3">
      <c r="A4" s="6" t="s">
        <v>105</v>
      </c>
      <c r="B4" s="6" t="s">
        <v>51</v>
      </c>
      <c r="C4" s="6" t="s">
        <v>259</v>
      </c>
      <c r="D4" s="6" t="s">
        <v>260</v>
      </c>
    </row>
    <row r="5" spans="1:4" x14ac:dyDescent="0.3">
      <c r="A5" s="6" t="s">
        <v>106</v>
      </c>
      <c r="B5" s="6" t="s">
        <v>54</v>
      </c>
      <c r="C5" s="6" t="s">
        <v>259</v>
      </c>
      <c r="D5" s="6" t="s">
        <v>260</v>
      </c>
    </row>
    <row r="6" spans="1:4" x14ac:dyDescent="0.3">
      <c r="A6" s="6" t="s">
        <v>107</v>
      </c>
      <c r="B6" s="6" t="s">
        <v>58</v>
      </c>
      <c r="C6" s="6" t="s">
        <v>261</v>
      </c>
      <c r="D6" s="6" t="s">
        <v>260</v>
      </c>
    </row>
    <row r="7" spans="1:4" x14ac:dyDescent="0.3">
      <c r="A7" s="6" t="s">
        <v>108</v>
      </c>
      <c r="B7" s="6" t="s">
        <v>59</v>
      </c>
      <c r="C7" s="6" t="s">
        <v>261</v>
      </c>
      <c r="D7" s="6" t="s">
        <v>260</v>
      </c>
    </row>
    <row r="8" spans="1:4" x14ac:dyDescent="0.3">
      <c r="A8" s="6" t="s">
        <v>109</v>
      </c>
      <c r="B8" s="6" t="s">
        <v>62</v>
      </c>
      <c r="C8" s="6" t="s">
        <v>261</v>
      </c>
      <c r="D8" s="6" t="s">
        <v>260</v>
      </c>
    </row>
    <row r="9" spans="1:4" x14ac:dyDescent="0.3">
      <c r="A9" s="6" t="s">
        <v>110</v>
      </c>
      <c r="B9" s="6" t="s">
        <v>111</v>
      </c>
      <c r="C9" s="6" t="s">
        <v>261</v>
      </c>
      <c r="D9" s="6" t="s">
        <v>260</v>
      </c>
    </row>
    <row r="10" spans="1:4" x14ac:dyDescent="0.3">
      <c r="A10" s="6" t="s">
        <v>112</v>
      </c>
      <c r="B10" s="6" t="s">
        <v>63</v>
      </c>
      <c r="C10" s="6" t="s">
        <v>261</v>
      </c>
      <c r="D10" s="6" t="s">
        <v>260</v>
      </c>
    </row>
    <row r="11" spans="1:4" x14ac:dyDescent="0.3">
      <c r="A11" s="6" t="s">
        <v>113</v>
      </c>
      <c r="B11" s="6" t="s">
        <v>114</v>
      </c>
      <c r="C11" s="6" t="s">
        <v>261</v>
      </c>
      <c r="D11" s="6" t="s">
        <v>260</v>
      </c>
    </row>
    <row r="12" spans="1:4" x14ac:dyDescent="0.3">
      <c r="A12" s="6" t="s">
        <v>115</v>
      </c>
      <c r="B12" s="6" t="s">
        <v>116</v>
      </c>
      <c r="C12" s="6" t="s">
        <v>261</v>
      </c>
      <c r="D12" s="6" t="s">
        <v>260</v>
      </c>
    </row>
    <row r="13" spans="1:4" x14ac:dyDescent="0.3">
      <c r="A13" s="6" t="s">
        <v>117</v>
      </c>
      <c r="B13" s="6" t="s">
        <v>118</v>
      </c>
      <c r="C13" s="6" t="s">
        <v>262</v>
      </c>
      <c r="D13" s="6" t="s">
        <v>260</v>
      </c>
    </row>
    <row r="14" spans="1:4" x14ac:dyDescent="0.3">
      <c r="A14" s="6" t="s">
        <v>119</v>
      </c>
      <c r="B14" s="6" t="s">
        <v>67</v>
      </c>
      <c r="C14" s="6" t="s">
        <v>262</v>
      </c>
      <c r="D14" s="6" t="s">
        <v>260</v>
      </c>
    </row>
    <row r="15" spans="1:4" x14ac:dyDescent="0.3">
      <c r="A15" s="6" t="s">
        <v>120</v>
      </c>
      <c r="B15" s="6" t="s">
        <v>121</v>
      </c>
      <c r="C15" s="6" t="s">
        <v>262</v>
      </c>
      <c r="D15" s="6" t="s">
        <v>260</v>
      </c>
    </row>
    <row r="16" spans="1:4" x14ac:dyDescent="0.3">
      <c r="A16" s="6" t="s">
        <v>122</v>
      </c>
      <c r="B16" s="6" t="s">
        <v>68</v>
      </c>
      <c r="C16" s="6" t="s">
        <v>262</v>
      </c>
      <c r="D16" s="6" t="s">
        <v>260</v>
      </c>
    </row>
    <row r="17" spans="1:4" x14ac:dyDescent="0.3">
      <c r="A17" s="6" t="s">
        <v>123</v>
      </c>
      <c r="B17" s="6" t="s">
        <v>124</v>
      </c>
      <c r="C17" s="6" t="s">
        <v>262</v>
      </c>
      <c r="D17" s="6" t="s">
        <v>260</v>
      </c>
    </row>
    <row r="18" spans="1:4" x14ac:dyDescent="0.3">
      <c r="A18" s="6" t="s">
        <v>125</v>
      </c>
      <c r="B18" s="6" t="s">
        <v>126</v>
      </c>
      <c r="C18" s="6" t="s">
        <v>262</v>
      </c>
      <c r="D18" s="6" t="s">
        <v>260</v>
      </c>
    </row>
    <row r="19" spans="1:4" x14ac:dyDescent="0.3">
      <c r="A19" s="6" t="s">
        <v>127</v>
      </c>
      <c r="B19" s="6" t="s">
        <v>71</v>
      </c>
      <c r="C19" s="6" t="s">
        <v>262</v>
      </c>
      <c r="D19" s="6" t="s">
        <v>260</v>
      </c>
    </row>
    <row r="20" spans="1:4" x14ac:dyDescent="0.3">
      <c r="A20" s="6" t="s">
        <v>128</v>
      </c>
      <c r="B20" s="6" t="s">
        <v>129</v>
      </c>
      <c r="C20" s="6" t="s">
        <v>262</v>
      </c>
      <c r="D20" s="6" t="s">
        <v>260</v>
      </c>
    </row>
    <row r="21" spans="1:4" x14ac:dyDescent="0.3">
      <c r="A21" s="6" t="s">
        <v>130</v>
      </c>
      <c r="B21" s="6" t="s">
        <v>78</v>
      </c>
      <c r="C21" s="6" t="s">
        <v>262</v>
      </c>
      <c r="D21" s="6" t="s">
        <v>260</v>
      </c>
    </row>
    <row r="22" spans="1:4" x14ac:dyDescent="0.3">
      <c r="A22" s="6" t="s">
        <v>131</v>
      </c>
      <c r="B22" s="6" t="s">
        <v>75</v>
      </c>
      <c r="C22" s="6" t="s">
        <v>262</v>
      </c>
      <c r="D22" s="6" t="s">
        <v>260</v>
      </c>
    </row>
    <row r="23" spans="1:4" x14ac:dyDescent="0.3">
      <c r="A23" s="6" t="s">
        <v>132</v>
      </c>
      <c r="B23" s="6" t="s">
        <v>72</v>
      </c>
      <c r="C23" s="6" t="s">
        <v>262</v>
      </c>
      <c r="D23" s="6" t="s">
        <v>260</v>
      </c>
    </row>
    <row r="24" spans="1:4" x14ac:dyDescent="0.3">
      <c r="A24" s="6" t="s">
        <v>133</v>
      </c>
      <c r="B24" s="6" t="s">
        <v>134</v>
      </c>
      <c r="C24" s="6" t="s">
        <v>262</v>
      </c>
      <c r="D24" s="6" t="s">
        <v>260</v>
      </c>
    </row>
    <row r="25" spans="1:4" x14ac:dyDescent="0.3">
      <c r="A25" s="6" t="s">
        <v>135</v>
      </c>
      <c r="B25" s="6" t="s">
        <v>136</v>
      </c>
      <c r="C25" s="6" t="s">
        <v>262</v>
      </c>
      <c r="D25" s="6" t="s">
        <v>260</v>
      </c>
    </row>
    <row r="26" spans="1:4" x14ac:dyDescent="0.3">
      <c r="A26" s="6" t="s">
        <v>138</v>
      </c>
      <c r="B26" s="6" t="s">
        <v>82</v>
      </c>
      <c r="C26" s="6" t="s">
        <v>263</v>
      </c>
      <c r="D26" s="6" t="s">
        <v>264</v>
      </c>
    </row>
    <row r="27" spans="1:4" x14ac:dyDescent="0.3">
      <c r="A27" s="6" t="s">
        <v>139</v>
      </c>
      <c r="B27" s="6" t="s">
        <v>83</v>
      </c>
      <c r="C27" s="6" t="s">
        <v>263</v>
      </c>
      <c r="D27" s="6" t="s">
        <v>264</v>
      </c>
    </row>
    <row r="28" spans="1:4" x14ac:dyDescent="0.3">
      <c r="A28" s="6" t="s">
        <v>140</v>
      </c>
      <c r="B28" s="6" t="s">
        <v>141</v>
      </c>
      <c r="C28" s="6" t="s">
        <v>263</v>
      </c>
      <c r="D28" s="6" t="s">
        <v>264</v>
      </c>
    </row>
    <row r="29" spans="1:4" x14ac:dyDescent="0.3">
      <c r="A29" s="6" t="s">
        <v>142</v>
      </c>
      <c r="B29" s="6" t="s">
        <v>87</v>
      </c>
      <c r="C29" s="6" t="s">
        <v>265</v>
      </c>
      <c r="D29" s="6" t="s">
        <v>264</v>
      </c>
    </row>
    <row r="30" spans="1:4" x14ac:dyDescent="0.3">
      <c r="A30" s="6" t="s">
        <v>143</v>
      </c>
      <c r="B30" s="6" t="s">
        <v>144</v>
      </c>
      <c r="C30" s="6" t="s">
        <v>265</v>
      </c>
      <c r="D30" s="6" t="s">
        <v>264</v>
      </c>
    </row>
    <row r="31" spans="1:4" x14ac:dyDescent="0.3">
      <c r="A31" s="6" t="s">
        <v>145</v>
      </c>
      <c r="B31" s="6" t="s">
        <v>146</v>
      </c>
      <c r="C31" s="6" t="s">
        <v>265</v>
      </c>
      <c r="D31" s="6" t="s">
        <v>264</v>
      </c>
    </row>
    <row r="32" spans="1:4" x14ac:dyDescent="0.3">
      <c r="A32" s="6" t="s">
        <v>147</v>
      </c>
      <c r="B32" s="6" t="s">
        <v>88</v>
      </c>
      <c r="C32" s="6" t="s">
        <v>265</v>
      </c>
      <c r="D32" s="6" t="s">
        <v>264</v>
      </c>
    </row>
    <row r="33" spans="1:4" x14ac:dyDescent="0.3">
      <c r="A33" s="6" t="s">
        <v>148</v>
      </c>
      <c r="B33" s="6" t="s">
        <v>91</v>
      </c>
      <c r="C33" s="6" t="s">
        <v>265</v>
      </c>
      <c r="D33" s="6" t="s">
        <v>264</v>
      </c>
    </row>
    <row r="34" spans="1:4" x14ac:dyDescent="0.3">
      <c r="A34" s="6" t="s">
        <v>149</v>
      </c>
      <c r="B34" s="6" t="s">
        <v>150</v>
      </c>
      <c r="C34" s="6" t="s">
        <v>265</v>
      </c>
      <c r="D34" s="6" t="s">
        <v>264</v>
      </c>
    </row>
    <row r="35" spans="1:4" x14ac:dyDescent="0.3">
      <c r="A35" s="6" t="s">
        <v>151</v>
      </c>
      <c r="B35" s="6" t="s">
        <v>94</v>
      </c>
      <c r="C35" s="6" t="s">
        <v>265</v>
      </c>
      <c r="D35" s="6" t="s">
        <v>264</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
  <sheetViews>
    <sheetView workbookViewId="0"/>
  </sheetViews>
  <sheetFormatPr defaultRowHeight="14.4" x14ac:dyDescent="0.3"/>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BD</vt:lpstr>
      <vt:lpstr>TB</vt:lpstr>
      <vt:lpstr>AE</vt:lpstr>
      <vt:lpstr>BS</vt:lpstr>
      <vt:lpstr>PL</vt:lpstr>
      <vt:lpstr>CF</vt:lpstr>
      <vt:lpstr>Ageing</vt:lpstr>
      <vt:lpstr>N1</vt:lpstr>
      <vt:lpstr>N2</vt:lpstr>
      <vt:lpstr>N3</vt:lpstr>
      <vt:lpstr>N4</vt:lpstr>
      <vt:lpstr>N5</vt:lpstr>
      <vt:lpstr>N6</vt:lpstr>
      <vt:lpstr>TX</vt:lpstr>
      <vt:lpstr>Validation</vt:lpstr>
      <vt:lpstr>Chart of Accounts</vt:lpstr>
      <vt:lpstr>Drilldown_View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Shivam singh</cp:lastModifiedBy>
  <dcterms:created xsi:type="dcterms:W3CDTF">2026-06-27T05:44:11Z</dcterms:created>
  <dcterms:modified xsi:type="dcterms:W3CDTF">2026-06-27T05:44:13Z</dcterms:modified>
</cp:coreProperties>
</file>