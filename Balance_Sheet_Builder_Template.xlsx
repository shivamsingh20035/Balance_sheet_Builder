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me" sheetId="1" state="visible" r:id="rId1"/>
    <sheet xmlns:r="http://schemas.openxmlformats.org/officeDocument/2006/relationships" name="BD" sheetId="2" state="visible" r:id="rId2"/>
    <sheet xmlns:r="http://schemas.openxmlformats.org/officeDocument/2006/relationships" name="TB" sheetId="3" state="visible" r:id="rId3"/>
    <sheet xmlns:r="http://schemas.openxmlformats.org/officeDocument/2006/relationships" name="AE" sheetId="4" state="visible" r:id="rId4"/>
    <sheet xmlns:r="http://schemas.openxmlformats.org/officeDocument/2006/relationships" name="BS" sheetId="5" state="visible" r:id="rId5"/>
    <sheet xmlns:r="http://schemas.openxmlformats.org/officeDocument/2006/relationships" name="PL" sheetId="6" state="visible" r:id="rId6"/>
    <sheet xmlns:r="http://schemas.openxmlformats.org/officeDocument/2006/relationships" name="CF" sheetId="7" state="visible" r:id="rId7"/>
    <sheet xmlns:r="http://schemas.openxmlformats.org/officeDocument/2006/relationships" name="Ageing" sheetId="8" state="visible" r:id="rId8"/>
    <sheet xmlns:r="http://schemas.openxmlformats.org/officeDocument/2006/relationships" name="N1" sheetId="9" state="visible" r:id="rId9"/>
    <sheet xmlns:r="http://schemas.openxmlformats.org/officeDocument/2006/relationships" name="N2" sheetId="10" state="visible" r:id="rId10"/>
    <sheet xmlns:r="http://schemas.openxmlformats.org/officeDocument/2006/relationships" name="N3" sheetId="11" state="visible" r:id="rId11"/>
    <sheet xmlns:r="http://schemas.openxmlformats.org/officeDocument/2006/relationships" name="N4" sheetId="12" state="visible" r:id="rId12"/>
    <sheet xmlns:r="http://schemas.openxmlformats.org/officeDocument/2006/relationships" name="N5" sheetId="13" state="visible" r:id="rId13"/>
    <sheet xmlns:r="http://schemas.openxmlformats.org/officeDocument/2006/relationships" name="N6" sheetId="14" state="visible" r:id="rId14"/>
    <sheet xmlns:r="http://schemas.openxmlformats.org/officeDocument/2006/relationships" name="TX" sheetId="15" state="visible" r:id="rId15"/>
    <sheet xmlns:r="http://schemas.openxmlformats.org/officeDocument/2006/relationships" name="Validation" sheetId="16" state="visible" r:id="rId16"/>
    <sheet xmlns:r="http://schemas.openxmlformats.org/officeDocument/2006/relationships" name="Chart of Accounts" sheetId="17" state="visible" r:id="rId17"/>
  </sheets>
  <definedNames/>
  <calcPr calcId="124519" fullCalcOnLoad="1"/>
</workbook>
</file>

<file path=xl/styles.xml><?xml version="1.0" encoding="utf-8"?>
<styleSheet xmlns="http://schemas.openxmlformats.org/spreadsheetml/2006/main">
  <numFmts count="2">
    <numFmt numFmtId="164" formatCode="₹#,##0.00"/>
    <numFmt numFmtId="165" formatCode="#,##0.00;[Red]-#,##0.00;&quot;0.00&quot;"/>
  </numFmts>
  <fonts count="23">
    <font>
      <name val="Calibri"/>
      <family val="2"/>
      <color theme="1"/>
      <sz val="11"/>
      <scheme val="minor"/>
    </font>
    <font>
      <name val="Calibri"/>
      <b val="1"/>
      <color rgb="00FFFFFF"/>
      <sz val="18"/>
    </font>
    <font>
      <name val="Calibri"/>
      <b val="1"/>
      <color rgb="00FFFFFF"/>
      <sz val="10"/>
    </font>
    <font>
      <name val="Calibri"/>
      <b val="1"/>
      <color rgb="00555555"/>
      <sz val="9"/>
    </font>
    <font>
      <name val="Calibri"/>
      <b val="1"/>
      <color rgb="00000000"/>
      <sz val="11"/>
    </font>
    <font>
      <name val="Calibri"/>
      <b val="1"/>
      <color rgb="00333333"/>
      <sz val="10"/>
    </font>
    <font>
      <name val="Calibri"/>
      <b val="1"/>
      <color rgb="00FFFFFF"/>
      <sz val="11"/>
    </font>
    <font>
      <name val="Calibri"/>
      <b val="1"/>
      <color rgb="00111111"/>
      <sz val="9"/>
    </font>
    <font>
      <name val="Calibri"/>
      <color rgb="00555555"/>
      <sz val="9"/>
    </font>
    <font>
      <name val="Calibri"/>
      <b val="1"/>
      <color rgb="000000FF"/>
      <u val="single"/>
    </font>
    <font>
      <name val="Calibri"/>
      <b val="1"/>
      <sz val="14"/>
    </font>
    <font>
      <b val="1"/>
    </font>
    <font>
      <b val="1"/>
      <color rgb="00FFFFFF"/>
    </font>
    <font>
      <name val="Calibri"/>
      <b val="1"/>
      <color rgb="00FFFFFF"/>
      <sz val="14"/>
    </font>
    <font>
      <name val="Calibri"/>
      <b val="1"/>
      <color rgb="00FFFFFF"/>
      <sz val="9"/>
    </font>
    <font>
      <name val="Calibri"/>
      <sz val="10"/>
    </font>
    <font>
      <b val="1"/>
      <sz val="12"/>
    </font>
    <font>
      <i val="1"/>
      <sz val="10"/>
    </font>
    <font>
      <name val="Calibri"/>
      <b val="1"/>
      <sz val="10"/>
    </font>
    <font>
      <name val="Calibri"/>
      <i val="1"/>
      <sz val="10"/>
    </font>
    <font>
      <name val="Calibri"/>
      <b val="1"/>
      <color rgb="00FF0000"/>
      <sz val="10"/>
    </font>
    <font>
      <b val="1"/>
      <sz val="11"/>
    </font>
    <font>
      <name val="Calibri"/>
      <i val="1"/>
      <color rgb="00555555"/>
      <sz val="8"/>
    </font>
  </fonts>
  <fills count="8">
    <fill>
      <patternFill/>
    </fill>
    <fill>
      <patternFill patternType="gray125"/>
    </fill>
    <fill>
      <patternFill patternType="solid">
        <fgColor rgb="00333333"/>
        <bgColor rgb="00333333"/>
      </patternFill>
    </fill>
    <fill>
      <patternFill patternType="solid">
        <fgColor rgb="00F9F9F9"/>
        <bgColor rgb="00F9F9F9"/>
      </patternFill>
    </fill>
    <fill>
      <patternFill patternType="solid">
        <fgColor rgb="004F4F4F"/>
        <bgColor rgb="004F4F4F"/>
      </patternFill>
    </fill>
    <fill>
      <patternFill patternType="solid">
        <fgColor rgb="00F2F2F2"/>
        <bgColor rgb="00F2F2F2"/>
      </patternFill>
    </fill>
    <fill>
      <patternFill patternType="solid">
        <fgColor rgb="00FFFFFF"/>
        <bgColor rgb="00FFFFFF"/>
      </patternFill>
    </fill>
    <fill>
      <patternFill patternType="solid">
        <fgColor rgb="007F7F7F"/>
        <bgColor rgb="007F7F7F"/>
      </patternFill>
    </fill>
  </fills>
  <borders count="4">
    <border>
      <left/>
      <right/>
      <top/>
      <bottom/>
      <diagonal/>
    </border>
    <border>
      <left style="thin">
        <color rgb="00D9D9D9"/>
      </left>
      <right style="thin">
        <color rgb="00D9D9D9"/>
      </right>
      <top style="thin">
        <color rgb="00D9D9D9"/>
      </top>
      <bottom style="thin">
        <color rgb="00D9D9D9"/>
      </bottom>
    </border>
    <border>
      <top style="thin">
        <color rgb="00000000"/>
      </top>
      <bottom style="double">
        <color rgb="00000000"/>
      </bottom>
    </border>
    <border>
      <top style="thin">
        <color rgb="00000000"/>
      </top>
    </border>
  </borders>
  <cellStyleXfs count="1">
    <xf numFmtId="0" fontId="0" fillId="0" borderId="0"/>
  </cellStyleXfs>
  <cellXfs count="57">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2" fillId="4" borderId="1" applyAlignment="1" pivotButton="0" quotePrefix="0" xfId="0">
      <alignment horizontal="center" vertical="center"/>
    </xf>
    <xf numFmtId="0" fontId="3" fillId="5" borderId="1" applyAlignment="1" pivotButton="0" quotePrefix="0" xfId="0">
      <alignment horizontal="center" vertical="center"/>
    </xf>
    <xf numFmtId="0" fontId="4" fillId="6" borderId="1" applyAlignment="1" pivotButton="0" quotePrefix="0" xfId="0">
      <alignment horizontal="center" vertical="center"/>
    </xf>
    <xf numFmtId="164" fontId="4" fillId="6" borderId="1" applyAlignment="1" pivotButton="0" quotePrefix="0" xfId="0">
      <alignment horizontal="center" vertical="center"/>
    </xf>
    <xf numFmtId="0" fontId="5" fillId="3" borderId="0" applyAlignment="1" pivotButton="0" quotePrefix="0" xfId="0">
      <alignment horizontal="center" vertical="center"/>
    </xf>
    <xf numFmtId="0" fontId="6" fillId="2" borderId="0" applyAlignment="1" pivotButton="0" quotePrefix="0" xfId="0">
      <alignment horizontal="center" vertical="center"/>
    </xf>
    <xf numFmtId="0" fontId="7" fillId="5" borderId="1" applyAlignment="1" pivotButton="0" quotePrefix="0" xfId="0">
      <alignment horizontal="left" vertical="center"/>
    </xf>
    <xf numFmtId="0" fontId="0" fillId="0" borderId="1" pivotButton="0" quotePrefix="0" xfId="0"/>
    <xf numFmtId="0" fontId="8" fillId="6" borderId="1" applyAlignment="1" pivotButton="0" quotePrefix="0" xfId="0">
      <alignment horizontal="left" vertical="center"/>
    </xf>
    <xf numFmtId="0" fontId="9" fillId="0" borderId="0" pivotButton="0" quotePrefix="0" xfId="0"/>
    <xf numFmtId="0" fontId="11" fillId="0" borderId="1" pivotButton="0" quotePrefix="0" xfId="0"/>
    <xf numFmtId="0" fontId="13" fillId="2" borderId="0" applyAlignment="1" pivotButton="0" quotePrefix="0" xfId="0">
      <alignment horizontal="center" vertical="center"/>
    </xf>
    <xf numFmtId="0" fontId="2" fillId="4" borderId="0" applyAlignment="1" pivotButton="0" quotePrefix="0" xfId="0">
      <alignment horizontal="center" vertical="center"/>
    </xf>
    <xf numFmtId="0" fontId="14" fillId="7" borderId="1" applyAlignment="1" pivotButton="0" quotePrefix="0" xfId="0">
      <alignment horizontal="left" vertical="center"/>
    </xf>
    <xf numFmtId="0" fontId="14" fillId="7" borderId="1" applyAlignment="1" pivotButton="0" quotePrefix="0" xfId="0">
      <alignment horizontal="center" vertical="center"/>
    </xf>
    <xf numFmtId="0" fontId="15" fillId="0" borderId="1" pivotButton="0" quotePrefix="0" xfId="0"/>
    <xf numFmtId="4" fontId="15" fillId="0" borderId="1" pivotButton="0" quotePrefix="0" xfId="0"/>
    <xf numFmtId="0" fontId="11" fillId="0" borderId="2" pivotButton="0" quotePrefix="0" xfId="0"/>
    <xf numFmtId="0" fontId="0" fillId="0" borderId="2" pivotButton="0" quotePrefix="0" xfId="0"/>
    <xf numFmtId="4" fontId="11" fillId="0" borderId="2" pivotButton="0" quotePrefix="0" xfId="0"/>
    <xf numFmtId="0" fontId="10" fillId="0" borderId="0" pivotButton="0" quotePrefix="0" xfId="0"/>
    <xf numFmtId="0" fontId="12" fillId="2" borderId="0" pivotButton="0" quotePrefix="0" xfId="0"/>
    <xf numFmtId="4" fontId="0" fillId="0" borderId="1" pivotButton="0" quotePrefix="0" xfId="0"/>
    <xf numFmtId="0" fontId="16" fillId="0" borderId="0" applyAlignment="1" pivotButton="0" quotePrefix="0" xfId="0">
      <alignment horizontal="center"/>
    </xf>
    <xf numFmtId="0" fontId="17" fillId="0" borderId="0" applyAlignment="1" pivotButton="0" quotePrefix="0" xfId="0">
      <alignment horizontal="center"/>
    </xf>
    <xf numFmtId="0" fontId="12" fillId="2" borderId="0" applyAlignment="1" pivotButton="0" quotePrefix="0" xfId="0">
      <alignment horizontal="left" vertical="center"/>
    </xf>
    <xf numFmtId="0" fontId="12" fillId="2" borderId="0" applyAlignment="1" pivotButton="0" quotePrefix="0" xfId="0">
      <alignment horizontal="center" vertical="center"/>
    </xf>
    <xf numFmtId="0" fontId="15" fillId="0" borderId="0" pivotButton="0" quotePrefix="0" xfId="0"/>
    <xf numFmtId="0" fontId="15" fillId="0" borderId="2" pivotButton="0" quotePrefix="0" xfId="0"/>
    <xf numFmtId="4" fontId="15" fillId="0" borderId="2" pivotButton="0" quotePrefix="0" xfId="0"/>
    <xf numFmtId="0" fontId="15" fillId="0" borderId="3" pivotButton="0" quotePrefix="0" xfId="0"/>
    <xf numFmtId="4" fontId="15" fillId="0" borderId="3" pivotButton="0" quotePrefix="0" xfId="0"/>
    <xf numFmtId="0" fontId="15" fillId="0" borderId="0" applyAlignment="1" pivotButton="0" quotePrefix="0" xfId="0">
      <alignment indent="1"/>
    </xf>
    <xf numFmtId="4" fontId="15" fillId="0" borderId="0" pivotButton="0" quotePrefix="0" xfId="0"/>
    <xf numFmtId="4" fontId="18" fillId="0" borderId="1" pivotButton="0" quotePrefix="0" xfId="0"/>
    <xf numFmtId="0" fontId="6" fillId="4" borderId="0" applyAlignment="1" pivotButton="0" quotePrefix="0" xfId="0">
      <alignment horizontal="left" vertical="center"/>
    </xf>
    <xf numFmtId="0" fontId="2" fillId="7" borderId="0" applyAlignment="1" pivotButton="0" quotePrefix="0" xfId="0">
      <alignment horizontal="left" vertical="center" wrapText="1"/>
    </xf>
    <xf numFmtId="0" fontId="2" fillId="7" borderId="0" applyAlignment="1" pivotButton="0" quotePrefix="0" xfId="0">
      <alignment horizontal="center" vertical="center" wrapText="1"/>
    </xf>
    <xf numFmtId="4" fontId="11" fillId="0" borderId="1" pivotButton="0" quotePrefix="0" xfId="0"/>
    <xf numFmtId="0" fontId="19" fillId="0" borderId="1" pivotButton="0" quotePrefix="0" xfId="0"/>
    <xf numFmtId="4" fontId="19" fillId="0" borderId="1" pivotButton="0" quotePrefix="0" xfId="0"/>
    <xf numFmtId="0" fontId="20" fillId="0" borderId="1" pivotButton="0" quotePrefix="0" xfId="0"/>
    <xf numFmtId="165" fontId="18" fillId="0" borderId="1" pivotButton="0" quotePrefix="0" xfId="0"/>
    <xf numFmtId="0" fontId="0" fillId="7" borderId="0" pivotButton="0" quotePrefix="0" xfId="0"/>
    <xf numFmtId="0" fontId="0" fillId="0" borderId="1" applyAlignment="1" pivotButton="0" quotePrefix="0" xfId="0">
      <alignment horizontal="center"/>
    </xf>
    <xf numFmtId="0" fontId="0" fillId="0" borderId="2" applyAlignment="1" pivotButton="0" quotePrefix="0" xfId="0">
      <alignment horizontal="center"/>
    </xf>
    <xf numFmtId="0" fontId="16" fillId="0" borderId="0" pivotButton="0" quotePrefix="0" xfId="0"/>
    <xf numFmtId="0" fontId="21" fillId="0" borderId="0" pivotButton="0" quotePrefix="0" xfId="0"/>
    <xf numFmtId="0" fontId="18" fillId="0" borderId="2" pivotButton="0" quotePrefix="0" xfId="0"/>
    <xf numFmtId="4" fontId="18" fillId="0" borderId="2" pivotButton="0" quotePrefix="0" xfId="0"/>
    <xf numFmtId="2" fontId="15" fillId="0" borderId="1" pivotButton="0" quotePrefix="0" xfId="0"/>
    <xf numFmtId="0" fontId="19" fillId="0" borderId="0" pivotButton="0" quotePrefix="0" xfId="0"/>
    <xf numFmtId="0" fontId="22" fillId="0" borderId="0" pivotButton="0" quotePrefix="0" xfId="0"/>
    <xf numFmtId="0" fontId="12"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H30"/>
  <sheetViews>
    <sheetView showGridLines="1" workbookViewId="0">
      <selection activeCell="A1" sqref="A1"/>
    </sheetView>
  </sheetViews>
  <sheetFormatPr baseColWidth="8" defaultRowHeight="15"/>
  <cols>
    <col width="5" customWidth="1" min="1" max="1"/>
    <col width="25" customWidth="1" min="2" max="2"/>
    <col width="5" customWidth="1" min="3" max="3"/>
    <col width="25" customWidth="1" min="4" max="4"/>
    <col width="5" customWidth="1" min="5" max="5"/>
    <col width="20" customWidth="1" min="6" max="6"/>
    <col width="20" customWidth="1" min="7" max="7"/>
    <col width="20" customWidth="1" min="8" max="8"/>
  </cols>
  <sheetData>
    <row r="2" ht="25" customHeight="1">
      <c r="A2" s="1" t="inlineStr">
        <is>
          <t>Balance Sheet Builder (AS) - Lite version</t>
        </is>
      </c>
    </row>
    <row r="3" ht="25" customHeight="1"/>
    <row r="5" ht="24" customHeight="1">
      <c r="A5" s="2" t="n"/>
      <c r="B5" s="3">
        <f>HYPERLINK("#'BD'!A1", "BD - Basic Details")</f>
        <v/>
      </c>
      <c r="C5" s="2" t="n"/>
      <c r="D5" s="3">
        <f>HYPERLINK("#'N1'!A1", "N1 - Accounting Policies")</f>
        <v/>
      </c>
      <c r="E5" s="2" t="n"/>
      <c r="F5" s="4" t="inlineStr">
        <is>
          <t>Balance Sheet</t>
        </is>
      </c>
      <c r="G5" s="4" t="inlineStr">
        <is>
          <t>Cash Flow</t>
        </is>
      </c>
      <c r="H5" s="4" t="inlineStr">
        <is>
          <t>Notes Count</t>
        </is>
      </c>
    </row>
    <row r="6">
      <c r="A6" s="2" t="n"/>
      <c r="B6" s="2" t="n"/>
      <c r="C6" s="2" t="n"/>
      <c r="D6" s="2" t="n"/>
      <c r="E6" s="2" t="n"/>
      <c r="F6" s="5">
        <f>IF(Validation!D7="PASS", "RECONCILED", "UNRECONCILED")</f>
        <v/>
      </c>
      <c r="G6" s="5">
        <f>IF(Validation!D8="PASS", "RECONCILED", "UNRECONCILED")</f>
        <v/>
      </c>
      <c r="H6" s="5" t="inlineStr">
        <is>
          <t>11 Active</t>
        </is>
      </c>
    </row>
    <row r="7" ht="24" customHeight="1">
      <c r="A7" s="2" t="n"/>
      <c r="B7" s="3">
        <f>HYPERLINK("#'TB'!A1", "TB - Ledger Groupings")</f>
        <v/>
      </c>
      <c r="C7" s="2" t="n"/>
      <c r="D7" s="3">
        <f>HYPERLINK("#'N2'!A1", "N2 - Liabilities")</f>
        <v/>
      </c>
      <c r="E7" s="2" t="n"/>
      <c r="F7" s="2" t="n"/>
      <c r="G7" s="2" t="n"/>
      <c r="H7" s="2" t="n"/>
    </row>
    <row r="8">
      <c r="A8" s="2" t="n"/>
      <c r="B8" s="2" t="n"/>
      <c r="C8" s="2" t="n"/>
      <c r="D8" s="2" t="n"/>
      <c r="E8" s="2" t="n"/>
      <c r="F8" s="2" t="n"/>
      <c r="G8" s="2" t="n"/>
      <c r="H8" s="2" t="n"/>
    </row>
    <row r="9" ht="24" customHeight="1">
      <c r="A9" s="2" t="n"/>
      <c r="B9" s="3">
        <f>HYPERLINK("#'AE'!A1", "AE - Adjustment Entries")</f>
        <v/>
      </c>
      <c r="C9" s="2" t="n"/>
      <c r="D9" s="3">
        <f>HYPERLINK("#'N3'!A1", "N3 - Fixed Assets")</f>
        <v/>
      </c>
      <c r="E9" s="2" t="n"/>
      <c r="F9" s="4" t="inlineStr">
        <is>
          <t>Financial Year</t>
        </is>
      </c>
      <c r="G9" s="4" t="inlineStr">
        <is>
          <t>Revenue</t>
        </is>
      </c>
      <c r="H9" s="4" t="inlineStr">
        <is>
          <t>Profit (Loss)</t>
        </is>
      </c>
    </row>
    <row r="10">
      <c r="A10" s="2" t="n"/>
      <c r="B10" s="2" t="n"/>
      <c r="C10" s="2" t="n"/>
      <c r="D10" s="2" t="n"/>
      <c r="E10" s="2" t="n"/>
      <c r="F10" s="5">
        <f>'BD'!B5</f>
        <v/>
      </c>
      <c r="G10" s="6">
        <f>IFERROR(VLOOKUP("3", 'PL'!$A:$D, 3, FALSE), 0)</f>
        <v/>
      </c>
      <c r="H10" s="6">
        <f>IFERROR(VLOOKUP("3", 'PL'!$A:$D, 3, FALSE), 0) - IFERROR(VLOOKUP("4", 'PL'!$A:$D, 3, FALSE), 0)</f>
        <v/>
      </c>
    </row>
    <row r="11" ht="24" customHeight="1">
      <c r="A11" s="2" t="n"/>
      <c r="B11" s="3">
        <f>HYPERLINK("#'BS'!A1", "BS - Balance Sheet")</f>
        <v/>
      </c>
      <c r="C11" s="2" t="n"/>
      <c r="D11" s="3">
        <f>HYPERLINK("#'N4'!A1", "N4 - Assets")</f>
        <v/>
      </c>
      <c r="E11" s="2" t="n"/>
      <c r="F11" s="2" t="n"/>
      <c r="G11" s="2" t="n"/>
      <c r="H11" s="2" t="n"/>
    </row>
    <row r="12">
      <c r="A12" s="2" t="n"/>
      <c r="B12" s="2" t="n"/>
      <c r="C12" s="2" t="n"/>
      <c r="D12" s="2" t="n"/>
      <c r="E12" s="2" t="n"/>
      <c r="F12" s="2" t="n"/>
      <c r="G12" s="2" t="n"/>
      <c r="H12" s="2" t="n"/>
    </row>
    <row r="13" ht="24" customHeight="1">
      <c r="A13" s="2" t="n"/>
      <c r="B13" s="3">
        <f>HYPERLINK("#'PL'!A1", "PL - Profit &amp; Loss")</f>
        <v/>
      </c>
      <c r="C13" s="2" t="n"/>
      <c r="D13" s="3">
        <f>HYPERLINK("#'N5'!A1", "N5 - Income &amp; Expense")</f>
        <v/>
      </c>
      <c r="E13" s="2" t="n"/>
      <c r="F13" s="7" t="inlineStr">
        <is>
          <t>VBA Control Panel</t>
        </is>
      </c>
      <c r="G13" s="4" t="inlineStr">
        <is>
          <t>Rounding Scale</t>
        </is>
      </c>
    </row>
    <row r="14">
      <c r="A14" s="2" t="n"/>
      <c r="B14" s="2" t="n"/>
      <c r="C14" s="2" t="n"/>
      <c r="D14" s="2" t="n"/>
      <c r="E14" s="2" t="n"/>
      <c r="G14" s="5">
        <f>'BD'!B7</f>
        <v/>
      </c>
    </row>
    <row r="15" ht="24" customHeight="1">
      <c r="A15" s="2" t="n"/>
      <c r="B15" s="3">
        <f>HYPERLINK("#'CF'!A1", "CF - Cash Flow")</f>
        <v/>
      </c>
      <c r="C15" s="2" t="n"/>
      <c r="D15" s="3">
        <f>HYPERLINK("#'N6'!A1", "N6 - Other Notes")</f>
        <v/>
      </c>
      <c r="E15" s="2" t="n"/>
      <c r="F15" s="2" t="n"/>
      <c r="G15" s="2" t="n"/>
      <c r="H15" s="2" t="n"/>
    </row>
    <row r="16">
      <c r="A16" s="2" t="n"/>
      <c r="B16" s="2" t="n"/>
      <c r="C16" s="2" t="n"/>
      <c r="D16" s="2" t="n"/>
      <c r="E16" s="2" t="n"/>
      <c r="F16" s="2" t="n"/>
      <c r="G16" s="2" t="n"/>
      <c r="H16" s="2" t="n"/>
    </row>
    <row r="17" ht="24" customHeight="1">
      <c r="A17" s="2" t="n"/>
      <c r="B17" s="3">
        <f>HYPERLINK("#'TX'!A1", "TX - Tax Export")</f>
        <v/>
      </c>
      <c r="C17" s="2" t="n"/>
      <c r="D17" s="2" t="n"/>
      <c r="E17" s="2" t="n"/>
      <c r="F17" s="2" t="n"/>
      <c r="G17" s="2" t="n"/>
      <c r="H17" s="2" t="n"/>
    </row>
    <row r="18">
      <c r="A18" s="2" t="n"/>
      <c r="B18" s="2" t="n"/>
      <c r="C18" s="2" t="n"/>
      <c r="D18" s="2" t="n"/>
      <c r="E18" s="2" t="n"/>
      <c r="F18" s="2" t="n"/>
      <c r="G18" s="2" t="n"/>
      <c r="H18" s="2" t="n"/>
    </row>
    <row r="19">
      <c r="A19" s="2" t="n"/>
      <c r="B19" s="2" t="n"/>
      <c r="C19" s="2" t="n"/>
      <c r="D19" s="2" t="n"/>
      <c r="E19" s="2" t="n"/>
      <c r="F19" s="2" t="n"/>
      <c r="G19" s="2" t="n"/>
      <c r="H19" s="2" t="n"/>
    </row>
    <row r="20">
      <c r="A20" s="2" t="n"/>
      <c r="B20" s="2" t="n"/>
      <c r="C20" s="2" t="n"/>
      <c r="D20" s="2" t="n"/>
      <c r="E20" s="2" t="n"/>
      <c r="F20" s="2" t="n"/>
      <c r="G20" s="2" t="n"/>
      <c r="H20" s="2" t="n"/>
    </row>
    <row r="21">
      <c r="A21" s="2" t="n"/>
      <c r="B21" s="2" t="n"/>
      <c r="C21" s="2" t="n"/>
      <c r="D21" s="2" t="n"/>
      <c r="E21" s="2" t="n"/>
      <c r="F21" s="2" t="n"/>
      <c r="G21" s="2" t="n"/>
      <c r="H21" s="2" t="n"/>
    </row>
    <row r="22">
      <c r="A22" s="2" t="n"/>
      <c r="B22" s="2" t="n"/>
      <c r="C22" s="2" t="n"/>
      <c r="D22" s="2" t="n"/>
      <c r="E22" s="2" t="n"/>
      <c r="F22" s="2" t="n"/>
      <c r="G22" s="2" t="n"/>
      <c r="H22" s="2" t="n"/>
    </row>
    <row r="23">
      <c r="A23" s="2" t="n"/>
      <c r="B23" s="2" t="n"/>
      <c r="C23" s="2" t="n"/>
      <c r="D23" s="2" t="n"/>
      <c r="E23" s="2" t="n"/>
      <c r="F23" s="2" t="n"/>
      <c r="G23" s="2" t="n"/>
      <c r="H23" s="2" t="n"/>
    </row>
    <row r="25" ht="24" customHeight="1">
      <c r="B25" s="8" t="inlineStr">
        <is>
          <t>Tally Integration &amp; Import Help Guide</t>
        </is>
      </c>
    </row>
    <row r="26" ht="20" customHeight="1">
      <c r="B26" s="9" t="inlineStr">
        <is>
          <t>Step 1: Export TB from Tally</t>
        </is>
      </c>
      <c r="C26" s="10" t="n"/>
      <c r="D26" s="11" t="inlineStr">
        <is>
          <t>In Tally Prime or Tally ERP 9, navigate to 'Display More Reports' -&gt; 'Trial Balance'.</t>
        </is>
      </c>
      <c r="E26" s="10" t="n"/>
      <c r="F26" s="10" t="n"/>
      <c r="G26" s="10" t="n"/>
      <c r="H26" s="10" t="n"/>
    </row>
    <row r="27" ht="20" customHeight="1">
      <c r="B27" s="9" t="inlineStr">
        <is>
          <t>Step 2: Excel Format</t>
        </is>
      </c>
      <c r="C27" s="10" t="n"/>
      <c r="D27" s="11" t="inlineStr">
        <is>
          <t>Press Alt+E (Export) -&gt; select format 'Excel (Spreadsheet)'. Ensure Ledger Name, Debit, and Credit columns are visible.</t>
        </is>
      </c>
      <c r="E27" s="10" t="n"/>
      <c r="F27" s="10" t="n"/>
      <c r="G27" s="10" t="n"/>
      <c r="H27" s="10" t="n"/>
    </row>
    <row r="28" ht="20" customHeight="1">
      <c r="B28" s="9" t="inlineStr">
        <is>
          <t>Step 3: Run Macro Import</t>
        </is>
      </c>
      <c r="C28" s="10" t="n"/>
      <c r="D28" s="11" t="inlineStr">
        <is>
          <t>In this workbook's Home dashboard, click 'Import Trial Balance' and select the exported Tally file.</t>
        </is>
      </c>
      <c r="E28" s="10" t="n"/>
      <c r="F28" s="10" t="n"/>
      <c r="G28" s="10" t="n"/>
      <c r="H28" s="10" t="n"/>
    </row>
    <row r="29" ht="20" customHeight="1">
      <c r="B29" s="9" t="inlineStr">
        <is>
          <t>Step 4: Map New Accounts</t>
        </is>
      </c>
      <c r="C29" s="10" t="n"/>
      <c r="D29" s="11" t="inlineStr">
        <is>
          <t>Go to the 'TB' sheet. Select Type, Primary Group, and Secondary Group dropdowns. The Node Code resolves automatically.</t>
        </is>
      </c>
      <c r="E29" s="10" t="n"/>
      <c r="F29" s="10" t="n"/>
      <c r="G29" s="10" t="n"/>
      <c r="H29" s="10" t="n"/>
    </row>
    <row r="30" ht="20" customHeight="1">
      <c r="B30" s="9" t="inlineStr">
        <is>
          <t>Step 5: View Statements</t>
        </is>
      </c>
      <c r="C30" s="10" t="n"/>
      <c r="D30" s="11" t="inlineStr">
        <is>
          <t>Once mapped, all statements (Balance Sheet, P&amp;L, Cash Flow, and Notes) will automatically populate and reconcile.</t>
        </is>
      </c>
      <c r="E30" s="10" t="n"/>
      <c r="F30" s="10" t="n"/>
      <c r="G30" s="10" t="n"/>
      <c r="H30" s="10" t="n"/>
    </row>
  </sheetData>
  <mergeCells count="15">
    <mergeCell ref="F13:F14"/>
    <mergeCell ref="B30:C30"/>
    <mergeCell ref="D30:H30"/>
    <mergeCell ref="B29:C29"/>
    <mergeCell ref="B26:C26"/>
    <mergeCell ref="A2:H3"/>
    <mergeCell ref="B28:C28"/>
    <mergeCell ref="D27:H27"/>
    <mergeCell ref="D28:H28"/>
    <mergeCell ref="D29:H29"/>
    <mergeCell ref="G14:H14"/>
    <mergeCell ref="B25:H25"/>
    <mergeCell ref="B27:C27"/>
    <mergeCell ref="G13:H13"/>
    <mergeCell ref="D26:H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showGridLines="1" workbookViewId="0">
      <selection activeCell="A1" sqref="A1"/>
    </sheetView>
  </sheetViews>
  <sheetFormatPr baseColWidth="8" defaultRowHeight="15"/>
  <cols>
    <col width="20" customWidth="1" min="1" max="1"/>
    <col width="30" customWidth="1" min="2" max="2"/>
  </cols>
  <sheetData>
    <row r="1">
      <c r="A1" s="12">
        <f>HYPERLINK("#Home!A1", "&lt;- Go to Dashboard")</f>
        <v/>
      </c>
    </row>
    <row r="3">
      <c r="A3" s="13" t="inlineStr">
        <is>
          <t>Parameter</t>
        </is>
      </c>
      <c r="B3" s="10" t="inlineStr">
        <is>
          <t>Setting Value</t>
        </is>
      </c>
    </row>
    <row r="4">
      <c r="A4" s="13" t="inlineStr">
        <is>
          <t>Company Name</t>
        </is>
      </c>
      <c r="B4" s="10" t="inlineStr">
        <is>
          <t>Mock Enterprise Ltd.</t>
        </is>
      </c>
    </row>
    <row r="5">
      <c r="A5" s="13" t="inlineStr">
        <is>
          <t>Financial Year</t>
        </is>
      </c>
      <c r="B5" s="10" t="inlineStr">
        <is>
          <t>FY 2025-26</t>
        </is>
      </c>
    </row>
    <row r="6">
      <c r="A6" s="13" t="inlineStr">
        <is>
          <t>Reporting Currency</t>
        </is>
      </c>
      <c r="B6" s="10" t="inlineStr">
        <is>
          <t>INR</t>
        </is>
      </c>
    </row>
    <row r="7">
      <c r="A7" s="13" t="inlineStr">
        <is>
          <t>Rounding Type</t>
        </is>
      </c>
      <c r="B7" s="10" t="inlineStr">
        <is>
          <t>Unrounded</t>
        </is>
      </c>
    </row>
    <row r="8">
      <c r="A8" s="13" t="inlineStr">
        <is>
          <t>Scale Factor</t>
        </is>
      </c>
      <c r="B8" s="10">
        <f>IF(B7="Thousands", 1000, IF(B7="Lakhs", 100000, IF(B7="Crores", 10000000, 1)))</f>
        <v/>
      </c>
    </row>
    <row r="9">
      <c r="A9" s="13" t="inlineStr">
        <is>
          <t>Entity Type</t>
        </is>
      </c>
      <c r="B9" s="10" t="inlineStr">
        <is>
          <t>Corporate (Schedule III)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8"/>
  <sheetViews>
    <sheetView showGridLines="1" workbookViewId="0">
      <selection activeCell="A1" sqref="A1"/>
    </sheetView>
  </sheetViews>
  <sheetFormatPr baseColWidth="8" defaultRowHeight="15"/>
  <cols>
    <col width="10" customWidth="1" min="1" max="1"/>
    <col width="25"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2" customWidth="1" min="12" max="12"/>
    <col width="22" customWidth="1" min="13" max="13"/>
    <col width="24" customWidth="1" min="14" max="14"/>
    <col width="10" customWidth="1" min="15" max="15"/>
  </cols>
  <sheetData>
    <row r="1">
      <c r="A1" s="12">
        <f>HYPERLINK("#Home!A1", "&lt;- Go to Dashboard")</f>
        <v/>
      </c>
    </row>
    <row r="2" ht="22" customHeight="1">
      <c r="A2" s="14" t="inlineStr">
        <is>
          <t>Ledger Groupings</t>
        </is>
      </c>
    </row>
    <row r="4" ht="20" customHeight="1">
      <c r="C4" s="15" t="inlineStr">
        <is>
          <t>31 March 2023</t>
        </is>
      </c>
      <c r="F4" s="15" t="inlineStr">
        <is>
          <t>31 March 2024</t>
        </is>
      </c>
      <c r="I4" s="15" t="inlineStr">
        <is>
          <t>31 March 2025</t>
        </is>
      </c>
      <c r="L4" s="15" t="inlineStr">
        <is>
          <t>Groupings</t>
        </is>
      </c>
    </row>
    <row r="5" ht="22" customHeight="1">
      <c r="A5" s="16" t="inlineStr">
        <is>
          <t>GL Code</t>
        </is>
      </c>
      <c r="B5" s="16" t="inlineStr">
        <is>
          <t>GL Name</t>
        </is>
      </c>
      <c r="C5" s="17" t="inlineStr">
        <is>
          <t>Books</t>
        </is>
      </c>
      <c r="D5" s="17" t="inlineStr">
        <is>
          <t>Adjustments</t>
        </is>
      </c>
      <c r="E5" s="17" t="inlineStr">
        <is>
          <t>Final</t>
        </is>
      </c>
      <c r="F5" s="17" t="inlineStr">
        <is>
          <t>Books</t>
        </is>
      </c>
      <c r="G5" s="17" t="inlineStr">
        <is>
          <t>Adjustments</t>
        </is>
      </c>
      <c r="H5" s="17" t="inlineStr">
        <is>
          <t>Final</t>
        </is>
      </c>
      <c r="I5" s="17" t="inlineStr">
        <is>
          <t>Books</t>
        </is>
      </c>
      <c r="J5" s="17" t="inlineStr">
        <is>
          <t>Adjustments</t>
        </is>
      </c>
      <c r="K5" s="17" t="inlineStr">
        <is>
          <t>Final</t>
        </is>
      </c>
      <c r="L5" s="17" t="inlineStr">
        <is>
          <t>Type</t>
        </is>
      </c>
      <c r="M5" s="17" t="inlineStr">
        <is>
          <t>Primary Group</t>
        </is>
      </c>
      <c r="N5" s="17" t="inlineStr">
        <is>
          <t>Secondary Group</t>
        </is>
      </c>
      <c r="O5" s="17" t="inlineStr">
        <is>
          <t>Link</t>
        </is>
      </c>
    </row>
    <row r="6" ht="20" customHeight="1">
      <c r="A6" s="18" t="inlineStr">
        <is>
          <t>1001</t>
        </is>
      </c>
      <c r="B6" s="18" t="inlineStr">
        <is>
          <t>Equity Share Capital</t>
        </is>
      </c>
      <c r="C6" s="19" t="n">
        <v>0</v>
      </c>
      <c r="D6" s="19" t="n">
        <v>0</v>
      </c>
      <c r="E6" s="19">
        <f>C6+D6</f>
        <v/>
      </c>
      <c r="F6" s="19" t="n">
        <v>-250000</v>
      </c>
      <c r="G6" s="19" t="n">
        <v>0</v>
      </c>
      <c r="H6" s="19">
        <f>F6+G6</f>
        <v/>
      </c>
      <c r="I6" s="19" t="n">
        <v>-500000</v>
      </c>
      <c r="J6" s="19">
        <f>SUMIFS('AE'!$C$6:$C$55, 'AE'!$A$6:$A$55, A6) - SUMIFS('AE'!$D$6:$D$55, 'AE'!$A$6:$A$55, A6)</f>
        <v/>
      </c>
      <c r="K6" s="19">
        <f>I6+J6</f>
        <v/>
      </c>
      <c r="L6" s="18" t="inlineStr">
        <is>
          <t>Equity</t>
        </is>
      </c>
      <c r="M6" s="18" t="inlineStr">
        <is>
          <t>Shareholders' Funds</t>
        </is>
      </c>
      <c r="N6" s="18" t="inlineStr">
        <is>
          <t>Share Capital</t>
        </is>
      </c>
      <c r="O6" s="18">
        <f>IFERROR(INDEX('Chart of Accounts'!$A$4:$A$100, MATCH(N6, 'Chart of Accounts'!$B$4:$B$100, 0)), "")</f>
        <v/>
      </c>
    </row>
    <row r="7" ht="20" customHeight="1">
      <c r="A7" s="18" t="inlineStr">
        <is>
          <t>1002</t>
        </is>
      </c>
      <c r="B7" s="18" t="inlineStr">
        <is>
          <t>Retained Earnings</t>
        </is>
      </c>
      <c r="C7" s="19" t="n">
        <v>0</v>
      </c>
      <c r="D7" s="19" t="n">
        <v>0</v>
      </c>
      <c r="E7" s="19">
        <f>C7+D7</f>
        <v/>
      </c>
      <c r="F7" s="19" t="n">
        <v>0</v>
      </c>
      <c r="G7" s="19" t="n">
        <v>0</v>
      </c>
      <c r="H7" s="19">
        <f>F7+G7</f>
        <v/>
      </c>
      <c r="I7" s="19" t="n">
        <v>-107500</v>
      </c>
      <c r="J7" s="19">
        <f>SUMIFS('AE'!$C$6:$C$55, 'AE'!$A$6:$A$55, A7) - SUMIFS('AE'!$D$6:$D$55, 'AE'!$A$6:$A$55, A7)</f>
        <v/>
      </c>
      <c r="K7" s="19">
        <f>I7+J7</f>
        <v/>
      </c>
      <c r="L7" s="18" t="inlineStr">
        <is>
          <t>Equity</t>
        </is>
      </c>
      <c r="M7" s="18" t="inlineStr">
        <is>
          <t>Shareholders' Funds</t>
        </is>
      </c>
      <c r="N7" s="18" t="inlineStr">
        <is>
          <t>Reserves and Surplus</t>
        </is>
      </c>
      <c r="O7" s="18">
        <f>IFERROR(INDEX('Chart of Accounts'!$A$4:$A$100, MATCH(N7, 'Chart of Accounts'!$B$4:$B$100, 0)), "")</f>
        <v/>
      </c>
    </row>
    <row r="8" ht="20" customHeight="1">
      <c r="A8" s="18" t="inlineStr">
        <is>
          <t>2001</t>
        </is>
      </c>
      <c r="B8" s="18" t="inlineStr">
        <is>
          <t>Bank Term Loan</t>
        </is>
      </c>
      <c r="C8" s="19" t="n">
        <v>0</v>
      </c>
      <c r="D8" s="19" t="n">
        <v>0</v>
      </c>
      <c r="E8" s="19">
        <f>C8+D8</f>
        <v/>
      </c>
      <c r="F8" s="19" t="n">
        <v>-100000</v>
      </c>
      <c r="G8" s="19" t="n">
        <v>0</v>
      </c>
      <c r="H8" s="19">
        <f>F8+G8</f>
        <v/>
      </c>
      <c r="I8" s="19" t="n">
        <v>-200000</v>
      </c>
      <c r="J8" s="19">
        <f>SUMIFS('AE'!$C$6:$C$55, 'AE'!$A$6:$A$55, A8) - SUMIFS('AE'!$D$6:$D$55, 'AE'!$A$6:$A$55, A8)</f>
        <v/>
      </c>
      <c r="K8" s="19">
        <f>I8+J8</f>
        <v/>
      </c>
      <c r="L8" s="18" t="inlineStr">
        <is>
          <t>Liability</t>
        </is>
      </c>
      <c r="M8" s="18" t="inlineStr">
        <is>
          <t>Non-Current Liabilities</t>
        </is>
      </c>
      <c r="N8" s="18" t="inlineStr">
        <is>
          <t>Long-term borrowings</t>
        </is>
      </c>
      <c r="O8" s="18">
        <f>IFERROR(INDEX('Chart of Accounts'!$A$4:$A$100, MATCH(N8, 'Chart of Accounts'!$B$4:$B$100, 0)), "")</f>
        <v/>
      </c>
    </row>
    <row r="9" ht="20" customHeight="1">
      <c r="A9" s="18" t="inlineStr">
        <is>
          <t>3001</t>
        </is>
      </c>
      <c r="B9" s="18" t="inlineStr">
        <is>
          <t>Trade Creditors</t>
        </is>
      </c>
      <c r="C9" s="19" t="n">
        <v>0</v>
      </c>
      <c r="D9" s="19" t="n">
        <v>0</v>
      </c>
      <c r="E9" s="19">
        <f>C9+D9</f>
        <v/>
      </c>
      <c r="F9" s="19" t="n">
        <v>-40000</v>
      </c>
      <c r="G9" s="19" t="n">
        <v>0</v>
      </c>
      <c r="H9" s="19">
        <f>F9+G9</f>
        <v/>
      </c>
      <c r="I9" s="19" t="n">
        <v>-80000</v>
      </c>
      <c r="J9" s="19">
        <f>SUMIFS('AE'!$C$6:$C$55, 'AE'!$A$6:$A$55, A9) - SUMIFS('AE'!$D$6:$D$55, 'AE'!$A$6:$A$55, A9)</f>
        <v/>
      </c>
      <c r="K9" s="19">
        <f>I9+J9</f>
        <v/>
      </c>
      <c r="L9" s="18" t="inlineStr">
        <is>
          <t>Liability</t>
        </is>
      </c>
      <c r="M9" s="18" t="inlineStr">
        <is>
          <t>Current Liabilities</t>
        </is>
      </c>
      <c r="N9" s="18" t="inlineStr">
        <is>
          <t>Trade payables</t>
        </is>
      </c>
      <c r="O9" s="18">
        <f>IFERROR(INDEX('Chart of Accounts'!$A$4:$A$100, MATCH(N9, 'Chart of Accounts'!$B$4:$B$100, 0)), "")</f>
        <v/>
      </c>
    </row>
    <row r="10" ht="20" customHeight="1">
      <c r="A10" s="18" t="inlineStr">
        <is>
          <t>4001</t>
        </is>
      </c>
      <c r="B10" s="18" t="inlineStr">
        <is>
          <t>Plant and Machinery</t>
        </is>
      </c>
      <c r="C10" s="19" t="n">
        <v>0</v>
      </c>
      <c r="D10" s="19" t="n">
        <v>0</v>
      </c>
      <c r="E10" s="19">
        <f>C10+D10</f>
        <v/>
      </c>
      <c r="F10" s="19" t="n">
        <v>200000</v>
      </c>
      <c r="G10" s="19" t="n">
        <v>0</v>
      </c>
      <c r="H10" s="19">
        <f>F10+G10</f>
        <v/>
      </c>
      <c r="I10" s="19" t="n">
        <v>400000</v>
      </c>
      <c r="J10" s="19">
        <f>SUMIFS('AE'!$C$6:$C$55, 'AE'!$A$6:$A$55, A10) - SUMIFS('AE'!$D$6:$D$55, 'AE'!$A$6:$A$55, A10)</f>
        <v/>
      </c>
      <c r="K10" s="19">
        <f>I10+J10</f>
        <v/>
      </c>
      <c r="L10" s="18" t="inlineStr">
        <is>
          <t>Asset</t>
        </is>
      </c>
      <c r="M10" s="18" t="inlineStr">
        <is>
          <t>Non-Current Assets</t>
        </is>
      </c>
      <c r="N10" s="18" t="inlineStr">
        <is>
          <t>Property, Plant and Equipment</t>
        </is>
      </c>
      <c r="O10" s="18">
        <f>IFERROR(INDEX('Chart of Accounts'!$A$4:$A$100, MATCH(N10, 'Chart of Accounts'!$B$4:$B$100, 0)), "")</f>
        <v/>
      </c>
    </row>
    <row r="11" ht="20" customHeight="1">
      <c r="A11" s="18" t="inlineStr">
        <is>
          <t>5001</t>
        </is>
      </c>
      <c r="B11" s="18" t="inlineStr">
        <is>
          <t>HDFC Bank A/c</t>
        </is>
      </c>
      <c r="C11" s="19" t="n">
        <v>0</v>
      </c>
      <c r="D11" s="19" t="n">
        <v>0</v>
      </c>
      <c r="E11" s="19">
        <f>C11+D11</f>
        <v/>
      </c>
      <c r="F11" s="19" t="n">
        <v>227500</v>
      </c>
      <c r="G11" s="19" t="n">
        <v>0</v>
      </c>
      <c r="H11" s="19">
        <f>F11+G11</f>
        <v/>
      </c>
      <c r="I11" s="19" t="n">
        <v>562500</v>
      </c>
      <c r="J11" s="19">
        <f>SUMIFS('AE'!$C$6:$C$55, 'AE'!$A$6:$A$55, A11) - SUMIFS('AE'!$D$6:$D$55, 'AE'!$A$6:$A$55, A11)</f>
        <v/>
      </c>
      <c r="K11" s="19">
        <f>I11+J11</f>
        <v/>
      </c>
      <c r="L11" s="18" t="inlineStr">
        <is>
          <t>Asset</t>
        </is>
      </c>
      <c r="M11" s="18" t="inlineStr">
        <is>
          <t>Current Assets</t>
        </is>
      </c>
      <c r="N11" s="18" t="inlineStr">
        <is>
          <t>Cash and cash equivalents</t>
        </is>
      </c>
      <c r="O11" s="18">
        <f>IFERROR(INDEX('Chart of Accounts'!$A$4:$A$100, MATCH(N11, 'Chart of Accounts'!$B$4:$B$100, 0)), "")</f>
        <v/>
      </c>
    </row>
    <row r="12" ht="20" customHeight="1">
      <c r="A12" s="18" t="inlineStr">
        <is>
          <t>5002</t>
        </is>
      </c>
      <c r="B12" s="18" t="inlineStr">
        <is>
          <t>Accounts Receivable</t>
        </is>
      </c>
      <c r="C12" s="19" t="n">
        <v>0</v>
      </c>
      <c r="D12" s="19" t="n">
        <v>0</v>
      </c>
      <c r="E12" s="19">
        <f>C12+D12</f>
        <v/>
      </c>
      <c r="F12" s="19" t="n">
        <v>30000</v>
      </c>
      <c r="G12" s="19" t="n">
        <v>0</v>
      </c>
      <c r="H12" s="19">
        <f>F12+G12</f>
        <v/>
      </c>
      <c r="I12" s="19" t="n">
        <v>60000</v>
      </c>
      <c r="J12" s="19">
        <f>SUMIFS('AE'!$C$6:$C$55, 'AE'!$A$6:$A$55, A12) - SUMIFS('AE'!$D$6:$D$55, 'AE'!$A$6:$A$55, A12)</f>
        <v/>
      </c>
      <c r="K12" s="19">
        <f>I12+J12</f>
        <v/>
      </c>
      <c r="L12" s="18" t="inlineStr">
        <is>
          <t>Asset</t>
        </is>
      </c>
      <c r="M12" s="18" t="inlineStr">
        <is>
          <t>Current Assets</t>
        </is>
      </c>
      <c r="N12" s="18" t="inlineStr">
        <is>
          <t>Trade receivables</t>
        </is>
      </c>
      <c r="O12" s="18">
        <f>IFERROR(INDEX('Chart of Accounts'!$A$4:$A$100, MATCH(N12, 'Chart of Accounts'!$B$4:$B$100, 0)), "")</f>
        <v/>
      </c>
    </row>
    <row r="13" ht="20" customHeight="1">
      <c r="A13" s="18" t="inlineStr">
        <is>
          <t>5003</t>
        </is>
      </c>
      <c r="B13" s="18" t="inlineStr">
        <is>
          <t>Inventory</t>
        </is>
      </c>
      <c r="C13" s="19" t="n">
        <v>0</v>
      </c>
      <c r="D13" s="19" t="n">
        <v>0</v>
      </c>
      <c r="E13" s="19">
        <f>C13+D13</f>
        <v/>
      </c>
      <c r="F13" s="19" t="n">
        <v>40000</v>
      </c>
      <c r="G13" s="19" t="n">
        <v>0</v>
      </c>
      <c r="H13" s="19">
        <f>F13+G13</f>
        <v/>
      </c>
      <c r="I13" s="19" t="n">
        <v>80000</v>
      </c>
      <c r="J13" s="19">
        <f>SUMIFS('AE'!$C$6:$C$55, 'AE'!$A$6:$A$55, A13) - SUMIFS('AE'!$D$6:$D$55, 'AE'!$A$6:$A$55, A13)</f>
        <v/>
      </c>
      <c r="K13" s="19">
        <f>I13+J13</f>
        <v/>
      </c>
      <c r="L13" s="18" t="inlineStr">
        <is>
          <t>Asset</t>
        </is>
      </c>
      <c r="M13" s="18" t="inlineStr">
        <is>
          <t>Current Assets</t>
        </is>
      </c>
      <c r="N13" s="18" t="inlineStr">
        <is>
          <t>Inventories</t>
        </is>
      </c>
      <c r="O13" s="18">
        <f>IFERROR(INDEX('Chart of Accounts'!$A$4:$A$100, MATCH(N13, 'Chart of Accounts'!$B$4:$B$100, 0)), "")</f>
        <v/>
      </c>
    </row>
    <row r="14" ht="20" customHeight="1">
      <c r="A14" s="18" t="inlineStr">
        <is>
          <t>6001</t>
        </is>
      </c>
      <c r="B14" s="18" t="inlineStr">
        <is>
          <t>Sales Revenue</t>
        </is>
      </c>
      <c r="C14" s="19" t="n">
        <v>0</v>
      </c>
      <c r="D14" s="19" t="n">
        <v>0</v>
      </c>
      <c r="E14" s="19">
        <f>C14+D14</f>
        <v/>
      </c>
      <c r="F14" s="19" t="n">
        <v>-200000</v>
      </c>
      <c r="G14" s="19" t="n">
        <v>0</v>
      </c>
      <c r="H14" s="19">
        <f>F14+G14</f>
        <v/>
      </c>
      <c r="I14" s="19" t="n">
        <v>-400000</v>
      </c>
      <c r="J14" s="19">
        <f>SUMIFS('AE'!$C$6:$C$55, 'AE'!$A$6:$A$55, A14) - SUMIFS('AE'!$D$6:$D$55, 'AE'!$A$6:$A$55, A14)</f>
        <v/>
      </c>
      <c r="K14" s="19">
        <f>I14+J14</f>
        <v/>
      </c>
      <c r="L14" s="18" t="inlineStr">
        <is>
          <t>Income</t>
        </is>
      </c>
      <c r="M14" s="18" t="inlineStr">
        <is>
          <t>INCOME</t>
        </is>
      </c>
      <c r="N14" s="18" t="inlineStr">
        <is>
          <t>Revenue from operations</t>
        </is>
      </c>
      <c r="O14" s="18">
        <f>IFERROR(INDEX('Chart of Accounts'!$A$4:$A$100, MATCH(N14, 'Chart of Accounts'!$B$4:$B$100, 0)), "")</f>
        <v/>
      </c>
    </row>
    <row r="15" ht="20" customHeight="1">
      <c r="A15" s="18" t="inlineStr">
        <is>
          <t>7001</t>
        </is>
      </c>
      <c r="B15" s="18" t="inlineStr">
        <is>
          <t>Employee Salaries</t>
        </is>
      </c>
      <c r="C15" s="19" t="n">
        <v>0</v>
      </c>
      <c r="D15" s="19" t="n">
        <v>0</v>
      </c>
      <c r="E15" s="19">
        <f>C15+D15</f>
        <v/>
      </c>
      <c r="F15" s="19" t="n">
        <v>75000</v>
      </c>
      <c r="G15" s="19" t="n">
        <v>0</v>
      </c>
      <c r="H15" s="19">
        <f>F15+G15</f>
        <v/>
      </c>
      <c r="I15" s="19" t="n">
        <v>150000</v>
      </c>
      <c r="J15" s="19">
        <f>SUMIFS('AE'!$C$6:$C$55, 'AE'!$A$6:$A$55, A15) - SUMIFS('AE'!$D$6:$D$55, 'AE'!$A$6:$A$55, A15)</f>
        <v/>
      </c>
      <c r="K15" s="19">
        <f>I15+J15</f>
        <v/>
      </c>
      <c r="L15" s="18" t="inlineStr">
        <is>
          <t>Expense</t>
        </is>
      </c>
      <c r="M15" s="18" t="inlineStr">
        <is>
          <t>EXPENSES</t>
        </is>
      </c>
      <c r="N15" s="18" t="inlineStr">
        <is>
          <t>Employee benefits expense</t>
        </is>
      </c>
      <c r="O15" s="18">
        <f>IFERROR(INDEX('Chart of Accounts'!$A$4:$A$100, MATCH(N15, 'Chart of Accounts'!$B$4:$B$100, 0)), "")</f>
        <v/>
      </c>
    </row>
    <row r="16" ht="20" customHeight="1">
      <c r="A16" s="18" t="inlineStr">
        <is>
          <t>7002</t>
        </is>
      </c>
      <c r="B16" s="18" t="inlineStr">
        <is>
          <t>Interest Expense</t>
        </is>
      </c>
      <c r="C16" s="19" t="n">
        <v>0</v>
      </c>
      <c r="D16" s="19" t="n">
        <v>0</v>
      </c>
      <c r="E16" s="19">
        <f>C16+D16</f>
        <v/>
      </c>
      <c r="F16" s="19" t="n">
        <v>7500</v>
      </c>
      <c r="G16" s="19" t="n">
        <v>0</v>
      </c>
      <c r="H16" s="19">
        <f>F16+G16</f>
        <v/>
      </c>
      <c r="I16" s="19" t="n">
        <v>15000</v>
      </c>
      <c r="J16" s="19">
        <f>SUMIFS('AE'!$C$6:$C$55, 'AE'!$A$6:$A$55, A16) - SUMIFS('AE'!$D$6:$D$55, 'AE'!$A$6:$A$55, A16)</f>
        <v/>
      </c>
      <c r="K16" s="19">
        <f>I16+J16</f>
        <v/>
      </c>
      <c r="L16" s="18" t="inlineStr">
        <is>
          <t>Expense</t>
        </is>
      </c>
      <c r="M16" s="18" t="inlineStr">
        <is>
          <t>EXPENSES</t>
        </is>
      </c>
      <c r="N16" s="18" t="inlineStr">
        <is>
          <t>Finance costs</t>
        </is>
      </c>
      <c r="O16" s="18">
        <f>IFERROR(INDEX('Chart of Accounts'!$A$4:$A$100, MATCH(N16, 'Chart of Accounts'!$B$4:$B$100, 0)), "")</f>
        <v/>
      </c>
    </row>
    <row r="17" ht="20" customHeight="1">
      <c r="A17" s="18" t="inlineStr">
        <is>
          <t>7004</t>
        </is>
      </c>
      <c r="B17" s="18" t="inlineStr">
        <is>
          <t>Office Rent</t>
        </is>
      </c>
      <c r="C17" s="19" t="n">
        <v>0</v>
      </c>
      <c r="D17" s="19" t="n">
        <v>0</v>
      </c>
      <c r="E17" s="19">
        <f>C17+D17</f>
        <v/>
      </c>
      <c r="F17" s="19" t="n">
        <v>10000</v>
      </c>
      <c r="G17" s="19" t="n">
        <v>0</v>
      </c>
      <c r="H17" s="19">
        <f>F17+G17</f>
        <v/>
      </c>
      <c r="I17" s="19" t="n">
        <v>20000</v>
      </c>
      <c r="J17" s="19">
        <f>SUMIFS('AE'!$C$6:$C$55, 'AE'!$A$6:$A$55, A17) - SUMIFS('AE'!$D$6:$D$55, 'AE'!$A$6:$A$55, A17)</f>
        <v/>
      </c>
      <c r="K17" s="19">
        <f>I17+J17</f>
        <v/>
      </c>
      <c r="L17" s="18" t="inlineStr">
        <is>
          <t>Expense</t>
        </is>
      </c>
      <c r="M17" s="18" t="inlineStr">
        <is>
          <t>EXPENSES</t>
        </is>
      </c>
      <c r="N17" s="18" t="inlineStr">
        <is>
          <t>Other expenses</t>
        </is>
      </c>
      <c r="O17" s="18">
        <f>IFERROR(INDEX('Chart of Accounts'!$A$4:$A$100, MATCH(N17, 'Chart of Accounts'!$B$4:$B$100, 0)), "")</f>
        <v/>
      </c>
    </row>
    <row r="18" ht="22" customHeight="1">
      <c r="A18" s="20" t="inlineStr">
        <is>
          <t>Total</t>
        </is>
      </c>
      <c r="B18" s="21" t="n"/>
      <c r="C18" s="22">
        <f>SUM(C6:C17)</f>
        <v/>
      </c>
      <c r="D18" s="22">
        <f>SUM(D6:D17)</f>
        <v/>
      </c>
      <c r="E18" s="22">
        <f>SUM(E6:E17)</f>
        <v/>
      </c>
      <c r="F18" s="22">
        <f>SUM(F6:F17)</f>
        <v/>
      </c>
      <c r="G18" s="22">
        <f>SUM(G6:G17)</f>
        <v/>
      </c>
      <c r="H18" s="22">
        <f>SUM(H6:H17)</f>
        <v/>
      </c>
      <c r="I18" s="22">
        <f>SUM(I6:I17)</f>
        <v/>
      </c>
      <c r="J18" s="22">
        <f>SUM(J6:J17)</f>
        <v/>
      </c>
      <c r="K18" s="22">
        <f>SUM(K6:K17)</f>
        <v/>
      </c>
      <c r="L18" s="21" t="n"/>
      <c r="M18" s="21" t="n"/>
      <c r="N18" s="21" t="n"/>
      <c r="O18" s="21" t="n"/>
    </row>
  </sheetData>
  <mergeCells count="5">
    <mergeCell ref="A2:O2"/>
    <mergeCell ref="L4:O4"/>
    <mergeCell ref="C4:E4"/>
    <mergeCell ref="F4:H4"/>
    <mergeCell ref="I4:K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5"/>
  <sheetViews>
    <sheetView showGridLines="1" workbookViewId="0">
      <selection activeCell="A1" sqref="A1"/>
    </sheetView>
  </sheetViews>
  <sheetFormatPr baseColWidth="8" defaultRowHeight="15"/>
  <sheetData>
    <row r="1">
      <c r="A1" s="12">
        <f>HYPERLINK("#Home!A1", "&lt;- Go to Dashboard")</f>
        <v/>
      </c>
    </row>
    <row r="3">
      <c r="A3" s="23" t="inlineStr">
        <is>
          <t>Post Adjustment Entries</t>
        </is>
      </c>
    </row>
    <row r="5">
      <c r="A5" s="24" t="inlineStr">
        <is>
          <t>GL Code</t>
        </is>
      </c>
      <c r="B5" s="24" t="inlineStr">
        <is>
          <t>GL Name</t>
        </is>
      </c>
      <c r="C5" s="24" t="inlineStr">
        <is>
          <t>Debit Amount</t>
        </is>
      </c>
      <c r="D5" s="24" t="inlineStr">
        <is>
          <t>Credit Amount</t>
        </is>
      </c>
      <c r="E5" s="24" t="inlineStr">
        <is>
          <t>Narration</t>
        </is>
      </c>
    </row>
    <row r="6">
      <c r="A6" s="10" t="n"/>
      <c r="B6" s="10">
        <f>IF(ISBLANK(A6), "", IFERROR(VLOOKUP(A6, 'TB'!$A:$B, 2, FALSE), "Invalid GL"))</f>
        <v/>
      </c>
      <c r="C6" s="25" t="n"/>
      <c r="D6" s="25" t="n"/>
      <c r="E6" s="10" t="n"/>
    </row>
    <row r="7">
      <c r="A7" s="10" t="n"/>
      <c r="B7" s="10">
        <f>IF(ISBLANK(A7), "", IFERROR(VLOOKUP(A7, 'TB'!$A:$B, 2, FALSE), "Invalid GL"))</f>
        <v/>
      </c>
      <c r="C7" s="25" t="n"/>
      <c r="D7" s="25" t="n"/>
      <c r="E7" s="10" t="n"/>
    </row>
    <row r="8">
      <c r="A8" s="10" t="n"/>
      <c r="B8" s="10">
        <f>IF(ISBLANK(A8), "", IFERROR(VLOOKUP(A8, 'TB'!$A:$B, 2, FALSE), "Invalid GL"))</f>
        <v/>
      </c>
      <c r="C8" s="25" t="n"/>
      <c r="D8" s="25" t="n"/>
      <c r="E8" s="10" t="n"/>
    </row>
    <row r="9">
      <c r="A9" s="10" t="n"/>
      <c r="B9" s="10">
        <f>IF(ISBLANK(A9), "", IFERROR(VLOOKUP(A9, 'TB'!$A:$B, 2, FALSE), "Invalid GL"))</f>
        <v/>
      </c>
      <c r="C9" s="25" t="n"/>
      <c r="D9" s="25" t="n"/>
      <c r="E9" s="10" t="n"/>
    </row>
    <row r="10">
      <c r="A10" s="10" t="n"/>
      <c r="B10" s="10">
        <f>IF(ISBLANK(A10), "", IFERROR(VLOOKUP(A10, 'TB'!$A:$B, 2, FALSE), "Invalid GL"))</f>
        <v/>
      </c>
      <c r="C10" s="25" t="n"/>
      <c r="D10" s="25" t="n"/>
      <c r="E10" s="10" t="n"/>
    </row>
    <row r="11">
      <c r="A11" s="10" t="n"/>
      <c r="B11" s="10">
        <f>IF(ISBLANK(A11), "", IFERROR(VLOOKUP(A11, 'TB'!$A:$B, 2, FALSE), "Invalid GL"))</f>
        <v/>
      </c>
      <c r="C11" s="25" t="n"/>
      <c r="D11" s="25" t="n"/>
      <c r="E11" s="10" t="n"/>
    </row>
    <row r="12">
      <c r="A12" s="10" t="n"/>
      <c r="B12" s="10">
        <f>IF(ISBLANK(A12), "", IFERROR(VLOOKUP(A12, 'TB'!$A:$B, 2, FALSE), "Invalid GL"))</f>
        <v/>
      </c>
      <c r="C12" s="25" t="n"/>
      <c r="D12" s="25" t="n"/>
      <c r="E12" s="10" t="n"/>
    </row>
    <row r="13">
      <c r="A13" s="10" t="n"/>
      <c r="B13" s="10">
        <f>IF(ISBLANK(A13), "", IFERROR(VLOOKUP(A13, 'TB'!$A:$B, 2, FALSE), "Invalid GL"))</f>
        <v/>
      </c>
      <c r="C13" s="25" t="n"/>
      <c r="D13" s="25" t="n"/>
      <c r="E13" s="10" t="n"/>
    </row>
    <row r="14">
      <c r="A14" s="10" t="n"/>
      <c r="B14" s="10">
        <f>IF(ISBLANK(A14), "", IFERROR(VLOOKUP(A14, 'TB'!$A:$B, 2, FALSE), "Invalid GL"))</f>
        <v/>
      </c>
      <c r="C14" s="25" t="n"/>
      <c r="D14" s="25" t="n"/>
      <c r="E14" s="10" t="n"/>
    </row>
    <row r="15">
      <c r="A15" s="10" t="n"/>
      <c r="B15" s="10">
        <f>IF(ISBLANK(A15), "", IFERROR(VLOOKUP(A15, 'TB'!$A:$B, 2, FALSE), "Invalid GL"))</f>
        <v/>
      </c>
      <c r="C15" s="25" t="n"/>
      <c r="D15" s="25" t="n"/>
      <c r="E15" s="10" t="n"/>
    </row>
    <row r="16">
      <c r="A16" s="10" t="n"/>
      <c r="B16" s="10">
        <f>IF(ISBLANK(A16), "", IFERROR(VLOOKUP(A16, 'TB'!$A:$B, 2, FALSE), "Invalid GL"))</f>
        <v/>
      </c>
      <c r="C16" s="25" t="n"/>
      <c r="D16" s="25" t="n"/>
      <c r="E16" s="10" t="n"/>
    </row>
    <row r="17">
      <c r="A17" s="10" t="n"/>
      <c r="B17" s="10">
        <f>IF(ISBLANK(A17), "", IFERROR(VLOOKUP(A17, 'TB'!$A:$B, 2, FALSE), "Invalid GL"))</f>
        <v/>
      </c>
      <c r="C17" s="25" t="n"/>
      <c r="D17" s="25" t="n"/>
      <c r="E17" s="10" t="n"/>
    </row>
    <row r="18">
      <c r="A18" s="10" t="n"/>
      <c r="B18" s="10">
        <f>IF(ISBLANK(A18), "", IFERROR(VLOOKUP(A18, 'TB'!$A:$B, 2, FALSE), "Invalid GL"))</f>
        <v/>
      </c>
      <c r="C18" s="25" t="n"/>
      <c r="D18" s="25" t="n"/>
      <c r="E18" s="10" t="n"/>
    </row>
    <row r="19">
      <c r="A19" s="10" t="n"/>
      <c r="B19" s="10">
        <f>IF(ISBLANK(A19), "", IFERROR(VLOOKUP(A19, 'TB'!$A:$B, 2, FALSE), "Invalid GL"))</f>
        <v/>
      </c>
      <c r="C19" s="25" t="n"/>
      <c r="D19" s="25" t="n"/>
      <c r="E19" s="10" t="n"/>
    </row>
    <row r="20">
      <c r="A20" s="10" t="n"/>
      <c r="B20" s="10">
        <f>IF(ISBLANK(A20), "", IFERROR(VLOOKUP(A20, 'TB'!$A:$B, 2, FALSE), "Invalid GL"))</f>
        <v/>
      </c>
      <c r="C20" s="25" t="n"/>
      <c r="D20" s="25" t="n"/>
      <c r="E20" s="10" t="n"/>
    </row>
    <row r="21">
      <c r="A21" s="10" t="n"/>
      <c r="B21" s="10">
        <f>IF(ISBLANK(A21), "", IFERROR(VLOOKUP(A21, 'TB'!$A:$B, 2, FALSE), "Invalid GL"))</f>
        <v/>
      </c>
      <c r="C21" s="25" t="n"/>
      <c r="D21" s="25" t="n"/>
      <c r="E21" s="10" t="n"/>
    </row>
    <row r="22">
      <c r="A22" s="10" t="n"/>
      <c r="B22" s="10">
        <f>IF(ISBLANK(A22), "", IFERROR(VLOOKUP(A22, 'TB'!$A:$B, 2, FALSE), "Invalid GL"))</f>
        <v/>
      </c>
      <c r="C22" s="25" t="n"/>
      <c r="D22" s="25" t="n"/>
      <c r="E22" s="10" t="n"/>
    </row>
    <row r="23">
      <c r="A23" s="10" t="n"/>
      <c r="B23" s="10">
        <f>IF(ISBLANK(A23), "", IFERROR(VLOOKUP(A23, 'TB'!$A:$B, 2, FALSE), "Invalid GL"))</f>
        <v/>
      </c>
      <c r="C23" s="25" t="n"/>
      <c r="D23" s="25" t="n"/>
      <c r="E23" s="10" t="n"/>
    </row>
    <row r="24">
      <c r="A24" s="10" t="n"/>
      <c r="B24" s="10">
        <f>IF(ISBLANK(A24), "", IFERROR(VLOOKUP(A24, 'TB'!$A:$B, 2, FALSE), "Invalid GL"))</f>
        <v/>
      </c>
      <c r="C24" s="25" t="n"/>
      <c r="D24" s="25" t="n"/>
      <c r="E24" s="10" t="n"/>
    </row>
    <row r="25">
      <c r="A25" s="10" t="n"/>
      <c r="B25" s="10">
        <f>IF(ISBLANK(A25), "", IFERROR(VLOOKUP(A25, 'TB'!$A:$B, 2, FALSE), "Invalid GL"))</f>
        <v/>
      </c>
      <c r="C25" s="25" t="n"/>
      <c r="D25" s="25" t="n"/>
      <c r="E25" s="10" t="n"/>
    </row>
    <row r="26">
      <c r="A26" s="10" t="n"/>
      <c r="B26" s="10">
        <f>IF(ISBLANK(A26), "", IFERROR(VLOOKUP(A26, 'TB'!$A:$B, 2, FALSE), "Invalid GL"))</f>
        <v/>
      </c>
      <c r="C26" s="25" t="n"/>
      <c r="D26" s="25" t="n"/>
      <c r="E26" s="10" t="n"/>
    </row>
    <row r="27">
      <c r="A27" s="10" t="n"/>
      <c r="B27" s="10">
        <f>IF(ISBLANK(A27), "", IFERROR(VLOOKUP(A27, 'TB'!$A:$B, 2, FALSE), "Invalid GL"))</f>
        <v/>
      </c>
      <c r="C27" s="25" t="n"/>
      <c r="D27" s="25" t="n"/>
      <c r="E27" s="10" t="n"/>
    </row>
    <row r="28">
      <c r="A28" s="10" t="n"/>
      <c r="B28" s="10">
        <f>IF(ISBLANK(A28), "", IFERROR(VLOOKUP(A28, 'TB'!$A:$B, 2, FALSE), "Invalid GL"))</f>
        <v/>
      </c>
      <c r="C28" s="25" t="n"/>
      <c r="D28" s="25" t="n"/>
      <c r="E28" s="10" t="n"/>
    </row>
    <row r="29">
      <c r="A29" s="10" t="n"/>
      <c r="B29" s="10">
        <f>IF(ISBLANK(A29), "", IFERROR(VLOOKUP(A29, 'TB'!$A:$B, 2, FALSE), "Invalid GL"))</f>
        <v/>
      </c>
      <c r="C29" s="25" t="n"/>
      <c r="D29" s="25" t="n"/>
      <c r="E29" s="10" t="n"/>
    </row>
    <row r="30">
      <c r="A30" s="10" t="n"/>
      <c r="B30" s="10">
        <f>IF(ISBLANK(A30), "", IFERROR(VLOOKUP(A30, 'TB'!$A:$B, 2, FALSE), "Invalid GL"))</f>
        <v/>
      </c>
      <c r="C30" s="25" t="n"/>
      <c r="D30" s="25" t="n"/>
      <c r="E30" s="10" t="n"/>
    </row>
    <row r="31">
      <c r="A31" s="10" t="n"/>
      <c r="B31" s="10">
        <f>IF(ISBLANK(A31), "", IFERROR(VLOOKUP(A31, 'TB'!$A:$B, 2, FALSE), "Invalid GL"))</f>
        <v/>
      </c>
      <c r="C31" s="25" t="n"/>
      <c r="D31" s="25" t="n"/>
      <c r="E31" s="10" t="n"/>
    </row>
    <row r="32">
      <c r="A32" s="10" t="n"/>
      <c r="B32" s="10">
        <f>IF(ISBLANK(A32), "", IFERROR(VLOOKUP(A32, 'TB'!$A:$B, 2, FALSE), "Invalid GL"))</f>
        <v/>
      </c>
      <c r="C32" s="25" t="n"/>
      <c r="D32" s="25" t="n"/>
      <c r="E32" s="10" t="n"/>
    </row>
    <row r="33">
      <c r="A33" s="10" t="n"/>
      <c r="B33" s="10">
        <f>IF(ISBLANK(A33), "", IFERROR(VLOOKUP(A33, 'TB'!$A:$B, 2, FALSE), "Invalid GL"))</f>
        <v/>
      </c>
      <c r="C33" s="25" t="n"/>
      <c r="D33" s="25" t="n"/>
      <c r="E33" s="10" t="n"/>
    </row>
    <row r="34">
      <c r="A34" s="10" t="n"/>
      <c r="B34" s="10">
        <f>IF(ISBLANK(A34), "", IFERROR(VLOOKUP(A34, 'TB'!$A:$B, 2, FALSE), "Invalid GL"))</f>
        <v/>
      </c>
      <c r="C34" s="25" t="n"/>
      <c r="D34" s="25" t="n"/>
      <c r="E34" s="10" t="n"/>
    </row>
    <row r="35">
      <c r="A35" s="10" t="n"/>
      <c r="B35" s="10">
        <f>IF(ISBLANK(A35), "", IFERROR(VLOOKUP(A35, 'TB'!$A:$B, 2, FALSE), "Invalid GL"))</f>
        <v/>
      </c>
      <c r="C35" s="25" t="n"/>
      <c r="D35" s="25" t="n"/>
      <c r="E35" s="10" t="n"/>
    </row>
    <row r="36">
      <c r="A36" s="10" t="n"/>
      <c r="B36" s="10">
        <f>IF(ISBLANK(A36), "", IFERROR(VLOOKUP(A36, 'TB'!$A:$B, 2, FALSE), "Invalid GL"))</f>
        <v/>
      </c>
      <c r="C36" s="25" t="n"/>
      <c r="D36" s="25" t="n"/>
      <c r="E36" s="10" t="n"/>
    </row>
    <row r="37">
      <c r="A37" s="10" t="n"/>
      <c r="B37" s="10">
        <f>IF(ISBLANK(A37), "", IFERROR(VLOOKUP(A37, 'TB'!$A:$B, 2, FALSE), "Invalid GL"))</f>
        <v/>
      </c>
      <c r="C37" s="25" t="n"/>
      <c r="D37" s="25" t="n"/>
      <c r="E37" s="10" t="n"/>
    </row>
    <row r="38">
      <c r="A38" s="10" t="n"/>
      <c r="B38" s="10">
        <f>IF(ISBLANK(A38), "", IFERROR(VLOOKUP(A38, 'TB'!$A:$B, 2, FALSE), "Invalid GL"))</f>
        <v/>
      </c>
      <c r="C38" s="25" t="n"/>
      <c r="D38" s="25" t="n"/>
      <c r="E38" s="10" t="n"/>
    </row>
    <row r="39">
      <c r="A39" s="10" t="n"/>
      <c r="B39" s="10">
        <f>IF(ISBLANK(A39), "", IFERROR(VLOOKUP(A39, 'TB'!$A:$B, 2, FALSE), "Invalid GL"))</f>
        <v/>
      </c>
      <c r="C39" s="25" t="n"/>
      <c r="D39" s="25" t="n"/>
      <c r="E39" s="10" t="n"/>
    </row>
    <row r="40">
      <c r="A40" s="10" t="n"/>
      <c r="B40" s="10">
        <f>IF(ISBLANK(A40), "", IFERROR(VLOOKUP(A40, 'TB'!$A:$B, 2, FALSE), "Invalid GL"))</f>
        <v/>
      </c>
      <c r="C40" s="25" t="n"/>
      <c r="D40" s="25" t="n"/>
      <c r="E40" s="10" t="n"/>
    </row>
    <row r="41">
      <c r="A41" s="10" t="n"/>
      <c r="B41" s="10">
        <f>IF(ISBLANK(A41), "", IFERROR(VLOOKUP(A41, 'TB'!$A:$B, 2, FALSE), "Invalid GL"))</f>
        <v/>
      </c>
      <c r="C41" s="25" t="n"/>
      <c r="D41" s="25" t="n"/>
      <c r="E41" s="10" t="n"/>
    </row>
    <row r="42">
      <c r="A42" s="10" t="n"/>
      <c r="B42" s="10">
        <f>IF(ISBLANK(A42), "", IFERROR(VLOOKUP(A42, 'TB'!$A:$B, 2, FALSE), "Invalid GL"))</f>
        <v/>
      </c>
      <c r="C42" s="25" t="n"/>
      <c r="D42" s="25" t="n"/>
      <c r="E42" s="10" t="n"/>
    </row>
    <row r="43">
      <c r="A43" s="10" t="n"/>
      <c r="B43" s="10">
        <f>IF(ISBLANK(A43), "", IFERROR(VLOOKUP(A43, 'TB'!$A:$B, 2, FALSE), "Invalid GL"))</f>
        <v/>
      </c>
      <c r="C43" s="25" t="n"/>
      <c r="D43" s="25" t="n"/>
      <c r="E43" s="10" t="n"/>
    </row>
    <row r="44">
      <c r="A44" s="10" t="n"/>
      <c r="B44" s="10">
        <f>IF(ISBLANK(A44), "", IFERROR(VLOOKUP(A44, 'TB'!$A:$B, 2, FALSE), "Invalid GL"))</f>
        <v/>
      </c>
      <c r="C44" s="25" t="n"/>
      <c r="D44" s="25" t="n"/>
      <c r="E44" s="10" t="n"/>
    </row>
    <row r="45">
      <c r="A45" s="10" t="n"/>
      <c r="B45" s="10">
        <f>IF(ISBLANK(A45), "", IFERROR(VLOOKUP(A45, 'TB'!$A:$B, 2, FALSE), "Invalid GL"))</f>
        <v/>
      </c>
      <c r="C45" s="25" t="n"/>
      <c r="D45" s="25" t="n"/>
      <c r="E45" s="10" t="n"/>
    </row>
    <row r="46">
      <c r="A46" s="10" t="n"/>
      <c r="B46" s="10">
        <f>IF(ISBLANK(A46), "", IFERROR(VLOOKUP(A46, 'TB'!$A:$B, 2, FALSE), "Invalid GL"))</f>
        <v/>
      </c>
      <c r="C46" s="25" t="n"/>
      <c r="D46" s="25" t="n"/>
      <c r="E46" s="10" t="n"/>
    </row>
    <row r="47">
      <c r="A47" s="10" t="n"/>
      <c r="B47" s="10">
        <f>IF(ISBLANK(A47), "", IFERROR(VLOOKUP(A47, 'TB'!$A:$B, 2, FALSE), "Invalid GL"))</f>
        <v/>
      </c>
      <c r="C47" s="25" t="n"/>
      <c r="D47" s="25" t="n"/>
      <c r="E47" s="10" t="n"/>
    </row>
    <row r="48">
      <c r="A48" s="10" t="n"/>
      <c r="B48" s="10">
        <f>IF(ISBLANK(A48), "", IFERROR(VLOOKUP(A48, 'TB'!$A:$B, 2, FALSE), "Invalid GL"))</f>
        <v/>
      </c>
      <c r="C48" s="25" t="n"/>
      <c r="D48" s="25" t="n"/>
      <c r="E48" s="10" t="n"/>
    </row>
    <row r="49">
      <c r="A49" s="10" t="n"/>
      <c r="B49" s="10">
        <f>IF(ISBLANK(A49), "", IFERROR(VLOOKUP(A49, 'TB'!$A:$B, 2, FALSE), "Invalid GL"))</f>
        <v/>
      </c>
      <c r="C49" s="25" t="n"/>
      <c r="D49" s="25" t="n"/>
      <c r="E49" s="10" t="n"/>
    </row>
    <row r="50">
      <c r="A50" s="10" t="n"/>
      <c r="B50" s="10">
        <f>IF(ISBLANK(A50), "", IFERROR(VLOOKUP(A50, 'TB'!$A:$B, 2, FALSE), "Invalid GL"))</f>
        <v/>
      </c>
      <c r="C50" s="25" t="n"/>
      <c r="D50" s="25" t="n"/>
      <c r="E50" s="10" t="n"/>
    </row>
    <row r="51">
      <c r="A51" s="10" t="n"/>
      <c r="B51" s="10">
        <f>IF(ISBLANK(A51), "", IFERROR(VLOOKUP(A51, 'TB'!$A:$B, 2, FALSE), "Invalid GL"))</f>
        <v/>
      </c>
      <c r="C51" s="25" t="n"/>
      <c r="D51" s="25" t="n"/>
      <c r="E51" s="10" t="n"/>
    </row>
    <row r="52">
      <c r="A52" s="10" t="n"/>
      <c r="B52" s="10">
        <f>IF(ISBLANK(A52), "", IFERROR(VLOOKUP(A52, 'TB'!$A:$B, 2, FALSE), "Invalid GL"))</f>
        <v/>
      </c>
      <c r="C52" s="25" t="n"/>
      <c r="D52" s="25" t="n"/>
      <c r="E52" s="10" t="n"/>
    </row>
    <row r="53">
      <c r="A53" s="10" t="n"/>
      <c r="B53" s="10">
        <f>IF(ISBLANK(A53), "", IFERROR(VLOOKUP(A53, 'TB'!$A:$B, 2, FALSE), "Invalid GL"))</f>
        <v/>
      </c>
      <c r="C53" s="25" t="n"/>
      <c r="D53" s="25" t="n"/>
      <c r="E53" s="10" t="n"/>
    </row>
    <row r="54">
      <c r="A54" s="10" t="n"/>
      <c r="B54" s="10">
        <f>IF(ISBLANK(A54), "", IFERROR(VLOOKUP(A54, 'TB'!$A:$B, 2, FALSE), "Invalid GL"))</f>
        <v/>
      </c>
      <c r="C54" s="25" t="n"/>
      <c r="D54" s="25" t="n"/>
      <c r="E54" s="10" t="n"/>
    </row>
    <row r="55">
      <c r="A55" s="10" t="n"/>
      <c r="B55" s="10">
        <f>IF(ISBLANK(A55), "", IFERROR(VLOOKUP(A55, 'TB'!$A:$B, 2, FALSE), "Invalid GL"))</f>
        <v/>
      </c>
      <c r="C55" s="25" t="n"/>
      <c r="D55" s="25" t="n"/>
      <c r="E55" s="10"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9"/>
  <sheetViews>
    <sheetView showGridLines="1" workbookViewId="0">
      <selection activeCell="A1" sqref="A1"/>
    </sheetView>
  </sheetViews>
  <sheetFormatPr baseColWidth="8" defaultRowHeight="15"/>
  <cols>
    <col width="12" customWidth="1" min="1" max="1"/>
    <col width="40" customWidth="1" min="2" max="2"/>
    <col width="18" customWidth="1" min="3" max="3"/>
    <col width="18" customWidth="1" min="4" max="4"/>
    <col width="20" customWidth="1" min="5" max="5"/>
  </cols>
  <sheetData>
    <row r="1">
      <c r="A1" s="12">
        <f>HYPERLINK("#Home!A1", "&lt;- Go to Dashboard")</f>
        <v/>
      </c>
    </row>
    <row r="2">
      <c r="A2" s="26" t="inlineStr">
        <is>
          <t>Mock Enterprise Ltd.</t>
        </is>
      </c>
    </row>
    <row r="3">
      <c r="A3" s="27" t="inlineStr">
        <is>
          <t>Balance Sheet as at March 31, 2025</t>
        </is>
      </c>
    </row>
    <row r="5">
      <c r="A5" s="28" t="inlineStr">
        <is>
          <t>Node Code</t>
        </is>
      </c>
      <c r="B5" s="28" t="inlineStr">
        <is>
          <t>Particulars</t>
        </is>
      </c>
      <c r="C5" s="29" t="inlineStr">
        <is>
          <t>31 March 2025</t>
        </is>
      </c>
      <c r="D5" s="29" t="inlineStr">
        <is>
          <t>31 March 2024</t>
        </is>
      </c>
    </row>
    <row r="6" ht="20" customHeight="1">
      <c r="A6" s="30" t="inlineStr">
        <is>
          <t>1</t>
        </is>
      </c>
      <c r="B6" s="31">
        <f>IF('BD'!$B$9="Non-Corporate", "CAPITAL AND LIABILITIES", "EQUITY AND LIABILITIES")</f>
        <v/>
      </c>
      <c r="C6" s="32">
        <f>C7+C10+C12</f>
        <v/>
      </c>
      <c r="D6" s="32">
        <f>D7+D10+D12</f>
        <v/>
      </c>
    </row>
    <row r="7" ht="20" customHeight="1">
      <c r="A7" s="30" t="inlineStr">
        <is>
          <t>1.1</t>
        </is>
      </c>
      <c r="B7" s="33">
        <f>IF('BD'!$B$9="Non-Corporate", "Partners' / Proprietor's Funds", "Shareholders' Funds")</f>
        <v/>
      </c>
      <c r="C7" s="34">
        <f>SUM(C8:C9)</f>
        <v/>
      </c>
      <c r="D7" s="34">
        <f>SUM(D8:D9)</f>
        <v/>
      </c>
    </row>
    <row r="8" ht="20" customHeight="1">
      <c r="A8" s="30" t="inlineStr">
        <is>
          <t>1.1.1</t>
        </is>
      </c>
      <c r="B8" s="35">
        <f>IF('BD'!$B$9="Non-Corporate", "Partners' / Proprietor's Capital Account", "Share Capital")</f>
        <v/>
      </c>
      <c r="C8" s="36">
        <f>(-SUMIFS('TB'!$K$6:$K$500, 'TB'!$O$6:$O$500, A8)) / 'BD'!$B$8</f>
        <v/>
      </c>
      <c r="D8" s="36">
        <f>(-SUMIFS('TB'!$H$6:$H$500, 'TB'!$O$6:$O$500, A8)) / 'BD'!$B$8</f>
        <v/>
      </c>
    </row>
    <row r="9" ht="20" customHeight="1">
      <c r="A9" s="30" t="inlineStr">
        <is>
          <t>1.1.2</t>
        </is>
      </c>
      <c r="B9" s="35">
        <f>IF('BD'!$B$9="Non-Corporate", "Reserves &amp; Profit / Loss Balance", "Reserves and Surplus")</f>
        <v/>
      </c>
      <c r="C9" s="36">
        <f>(-SUMIFS('TB'!$K$6:$K$500, 'TB'!$O$6:$O$500, A9)) / 'BD'!$B$8 + 'PL'!$C$6 - 'PL'!$C$9</f>
        <v/>
      </c>
      <c r="D9" s="36">
        <f>(-SUMIFS('TB'!$H$6:$H$500, 'TB'!$O$6:$O$500, A9)) / 'BD'!$B$8 + 'PL'!$D$6 - 'PL'!$D$9</f>
        <v/>
      </c>
    </row>
    <row r="10" ht="20" customHeight="1">
      <c r="A10" s="30" t="inlineStr">
        <is>
          <t>1.2</t>
        </is>
      </c>
      <c r="B10" s="33" t="inlineStr">
        <is>
          <t>Non-Current Liabilities</t>
        </is>
      </c>
      <c r="C10" s="34">
        <f>C11</f>
        <v/>
      </c>
      <c r="D10" s="34">
        <f>D11</f>
        <v/>
      </c>
    </row>
    <row r="11" ht="20" customHeight="1">
      <c r="A11" s="30" t="inlineStr">
        <is>
          <t>1.2.1</t>
        </is>
      </c>
      <c r="B11" s="35" t="inlineStr">
        <is>
          <t>Long-term borrowings</t>
        </is>
      </c>
      <c r="C11" s="36">
        <f>(-SUMIFS('TB'!$K$6:$K$500, 'TB'!$O$6:$O$500, A11)) / 'BD'!$B$8</f>
        <v/>
      </c>
      <c r="D11" s="36">
        <f>(-SUMIFS('TB'!$H$6:$H$500, 'TB'!$O$6:$O$500, A11)) / 'BD'!$B$8</f>
        <v/>
      </c>
    </row>
    <row r="12" ht="20" customHeight="1">
      <c r="A12" s="30" t="inlineStr">
        <is>
          <t>1.3</t>
        </is>
      </c>
      <c r="B12" s="33" t="inlineStr">
        <is>
          <t>Current Liabilities</t>
        </is>
      </c>
      <c r="C12" s="34">
        <f>SUM(C13:C16)</f>
        <v/>
      </c>
      <c r="D12" s="34">
        <f>SUM(D13:D16)</f>
        <v/>
      </c>
    </row>
    <row r="13" ht="20" customHeight="1">
      <c r="A13" s="30" t="inlineStr">
        <is>
          <t>1.3.1</t>
        </is>
      </c>
      <c r="B13" s="35" t="inlineStr">
        <is>
          <t>Short-term borrowings</t>
        </is>
      </c>
      <c r="C13" s="36">
        <f>(-SUMIFS('TB'!$K$6:$K$500, 'TB'!$O$6:$O$500, A13)) / 'BD'!$B$8</f>
        <v/>
      </c>
      <c r="D13" s="36">
        <f>(-SUMIFS('TB'!$H$6:$H$500, 'TB'!$O$6:$O$500, A13)) / 'BD'!$B$8</f>
        <v/>
      </c>
    </row>
    <row r="14" ht="20" customHeight="1">
      <c r="A14" s="30" t="inlineStr">
        <is>
          <t>1.3.2</t>
        </is>
      </c>
      <c r="B14" s="35" t="inlineStr">
        <is>
          <t>Trade payables</t>
        </is>
      </c>
      <c r="C14" s="36">
        <f>(-SUMIFS('TB'!$K$6:$K$500, 'TB'!$O$6:$O$500, A14)) / 'BD'!$B$8</f>
        <v/>
      </c>
      <c r="D14" s="36">
        <f>(-SUMIFS('TB'!$H$6:$H$500, 'TB'!$O$6:$O$500, A14)) / 'BD'!$B$8</f>
        <v/>
      </c>
    </row>
    <row r="15" ht="20" customHeight="1">
      <c r="A15" s="30" t="inlineStr">
        <is>
          <t>1.3.3</t>
        </is>
      </c>
      <c r="B15" s="35" t="inlineStr">
        <is>
          <t>Other current liabilities</t>
        </is>
      </c>
      <c r="C15" s="36">
        <f>(-SUMIFS('TB'!$K$6:$K$500, 'TB'!$O$6:$O$500, A15)) / 'BD'!$B$8</f>
        <v/>
      </c>
      <c r="D15" s="36">
        <f>(-SUMIFS('TB'!$H$6:$H$500, 'TB'!$O$6:$O$500, A15)) / 'BD'!$B$8</f>
        <v/>
      </c>
    </row>
    <row r="16" ht="20" customHeight="1">
      <c r="A16" s="30" t="inlineStr">
        <is>
          <t>1.3.4</t>
        </is>
      </c>
      <c r="B16" s="35" t="inlineStr">
        <is>
          <t>Short-term provisions</t>
        </is>
      </c>
      <c r="C16" s="36">
        <f>(-SUMIFS('TB'!$K$6:$K$500, 'TB'!$O$6:$O$500, A16)) / 'BD'!$B$8</f>
        <v/>
      </c>
      <c r="D16" s="36">
        <f>(-SUMIFS('TB'!$H$6:$H$500, 'TB'!$O$6:$O$500, A16)) / 'BD'!$B$8</f>
        <v/>
      </c>
    </row>
    <row r="17" ht="20" customHeight="1">
      <c r="A17" s="30" t="inlineStr">
        <is>
          <t>2</t>
        </is>
      </c>
      <c r="B17" s="31" t="inlineStr">
        <is>
          <t>ASSETS</t>
        </is>
      </c>
      <c r="C17" s="32">
        <f>C18+C23</f>
        <v/>
      </c>
      <c r="D17" s="32">
        <f>D18+D23</f>
        <v/>
      </c>
    </row>
    <row r="18" ht="20" customHeight="1">
      <c r="A18" s="30" t="inlineStr">
        <is>
          <t>2.1</t>
        </is>
      </c>
      <c r="B18" s="33" t="inlineStr">
        <is>
          <t>Non-Current Assets</t>
        </is>
      </c>
      <c r="C18" s="34">
        <f>C19+C22</f>
        <v/>
      </c>
      <c r="D18" s="34">
        <f>D19+D22</f>
        <v/>
      </c>
    </row>
    <row r="19" ht="20" customHeight="1">
      <c r="A19" s="30" t="inlineStr">
        <is>
          <t>2.1.1</t>
        </is>
      </c>
      <c r="B19" s="33" t="inlineStr">
        <is>
          <t>Property, Plant and Equipment and Intangible Assets</t>
        </is>
      </c>
      <c r="C19" s="34">
        <f>SUM(C20:C21)</f>
        <v/>
      </c>
      <c r="D19" s="34">
        <f>SUM(D20:D21)</f>
        <v/>
      </c>
    </row>
    <row r="20" ht="20" customHeight="1">
      <c r="A20" s="30" t="inlineStr">
        <is>
          <t>2.1.1.1</t>
        </is>
      </c>
      <c r="B20" s="35" t="inlineStr">
        <is>
          <t>Property, Plant and Equipment</t>
        </is>
      </c>
      <c r="C20" s="36">
        <f>(SUMIFS('TB'!$K$6:$K$500, 'TB'!$O$6:$O$500, A20)) / 'BD'!$B$8</f>
        <v/>
      </c>
      <c r="D20" s="36">
        <f>(SUMIFS('TB'!$H$6:$H$500, 'TB'!$O$6:$O$500, A20)) / 'BD'!$B$8</f>
        <v/>
      </c>
    </row>
    <row r="21" ht="20" customHeight="1">
      <c r="A21" s="30" t="inlineStr">
        <is>
          <t>2.1.1.2</t>
        </is>
      </c>
      <c r="B21" s="35" t="inlineStr">
        <is>
          <t>Intangible assets</t>
        </is>
      </c>
      <c r="C21" s="36">
        <f>(SUMIFS('TB'!$K$6:$K$500, 'TB'!$O$6:$O$500, A21)) / 'BD'!$B$8</f>
        <v/>
      </c>
      <c r="D21" s="36">
        <f>(SUMIFS('TB'!$H$6:$H$500, 'TB'!$O$6:$O$500, A21)) / 'BD'!$B$8</f>
        <v/>
      </c>
    </row>
    <row r="22" ht="20" customHeight="1">
      <c r="A22" s="30" t="inlineStr">
        <is>
          <t>2.1.2</t>
        </is>
      </c>
      <c r="B22" s="35" t="inlineStr">
        <is>
          <t>Non-current investments</t>
        </is>
      </c>
      <c r="C22" s="36">
        <f>(SUMIFS('TB'!$K$6:$K$500, 'TB'!$O$6:$O$500, A22)) / 'BD'!$B$8</f>
        <v/>
      </c>
      <c r="D22" s="36">
        <f>(SUMIFS('TB'!$H$6:$H$500, 'TB'!$O$6:$O$500, A22)) / 'BD'!$B$8</f>
        <v/>
      </c>
    </row>
    <row r="23" ht="20" customHeight="1">
      <c r="A23" s="30" t="inlineStr">
        <is>
          <t>2.2</t>
        </is>
      </c>
      <c r="B23" s="33" t="inlineStr">
        <is>
          <t>Current Assets</t>
        </is>
      </c>
      <c r="C23" s="34">
        <f>SUM(C24:C29)</f>
        <v/>
      </c>
      <c r="D23" s="34">
        <f>SUM(D24:D29)</f>
        <v/>
      </c>
    </row>
    <row r="24" ht="20" customHeight="1">
      <c r="A24" s="30" t="inlineStr">
        <is>
          <t>2.2.1</t>
        </is>
      </c>
      <c r="B24" s="35" t="inlineStr">
        <is>
          <t>Current investments</t>
        </is>
      </c>
      <c r="C24" s="36">
        <f>(SUMIFS('TB'!$K$6:$K$500, 'TB'!$O$6:$O$500, A24)) / 'BD'!$B$8</f>
        <v/>
      </c>
      <c r="D24" s="36">
        <f>(SUMIFS('TB'!$H$6:$H$500, 'TB'!$O$6:$O$500, A24)) / 'BD'!$B$8</f>
        <v/>
      </c>
    </row>
    <row r="25" ht="20" customHeight="1">
      <c r="A25" s="30" t="inlineStr">
        <is>
          <t>2.2.2</t>
        </is>
      </c>
      <c r="B25" s="35" t="inlineStr">
        <is>
          <t>Inventories</t>
        </is>
      </c>
      <c r="C25" s="36">
        <f>(SUMIFS('TB'!$K$6:$K$500, 'TB'!$O$6:$O$500, A25)) / 'BD'!$B$8</f>
        <v/>
      </c>
      <c r="D25" s="36">
        <f>(SUMIFS('TB'!$H$6:$H$500, 'TB'!$O$6:$O$500, A25)) / 'BD'!$B$8</f>
        <v/>
      </c>
    </row>
    <row r="26" ht="20" customHeight="1">
      <c r="A26" s="30" t="inlineStr">
        <is>
          <t>2.2.3</t>
        </is>
      </c>
      <c r="B26" s="35" t="inlineStr">
        <is>
          <t>Trade receivables</t>
        </is>
      </c>
      <c r="C26" s="36">
        <f>(SUMIFS('TB'!$K$6:$K$500, 'TB'!$O$6:$O$500, A26)) / 'BD'!$B$8</f>
        <v/>
      </c>
      <c r="D26" s="36">
        <f>(SUMIFS('TB'!$H$6:$H$500, 'TB'!$O$6:$O$500, A26)) / 'BD'!$B$8</f>
        <v/>
      </c>
    </row>
    <row r="27" ht="20" customHeight="1">
      <c r="A27" s="30" t="inlineStr">
        <is>
          <t>2.2.4</t>
        </is>
      </c>
      <c r="B27" s="35" t="inlineStr">
        <is>
          <t>Cash and cash equivalents</t>
        </is>
      </c>
      <c r="C27" s="36">
        <f>(SUMIFS('TB'!$K$6:$K$500, 'TB'!$O$6:$O$500, A27)) / 'BD'!$B$8</f>
        <v/>
      </c>
      <c r="D27" s="36">
        <f>(SUMIFS('TB'!$H$6:$H$500, 'TB'!$O$6:$O$500, A27)) / 'BD'!$B$8</f>
        <v/>
      </c>
    </row>
    <row r="28" ht="20" customHeight="1">
      <c r="A28" s="30" t="inlineStr">
        <is>
          <t>2.2.5</t>
        </is>
      </c>
      <c r="B28" s="35" t="inlineStr">
        <is>
          <t>Short-term loans and advances</t>
        </is>
      </c>
      <c r="C28" s="36">
        <f>(SUMIFS('TB'!$K$6:$K$500, 'TB'!$O$6:$O$500, A28)) / 'BD'!$B$8</f>
        <v/>
      </c>
      <c r="D28" s="36">
        <f>(SUMIFS('TB'!$H$6:$H$500, 'TB'!$O$6:$O$500, A28)) / 'BD'!$B$8</f>
        <v/>
      </c>
    </row>
    <row r="29" ht="20" customHeight="1">
      <c r="A29" s="30" t="inlineStr">
        <is>
          <t>2.2.6</t>
        </is>
      </c>
      <c r="B29" s="35" t="inlineStr">
        <is>
          <t>Other current assets</t>
        </is>
      </c>
      <c r="C29" s="36">
        <f>(SUMIFS('TB'!$K$6:$K$500, 'TB'!$O$6:$O$500, A29)) / 'BD'!$B$8</f>
        <v/>
      </c>
      <c r="D29" s="36">
        <f>(SUMIFS('TB'!$H$6:$H$500, 'TB'!$O$6:$O$500, A29)) / 'BD'!$B$8</f>
        <v/>
      </c>
    </row>
  </sheetData>
  <mergeCells count="2">
    <mergeCell ref="A3:D3"/>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5"/>
  <sheetViews>
    <sheetView showGridLines="1" workbookViewId="0">
      <selection activeCell="A1" sqref="A1"/>
    </sheetView>
  </sheetViews>
  <sheetFormatPr baseColWidth="8" defaultRowHeight="15"/>
  <cols>
    <col width="12" customWidth="1" min="1" max="1"/>
    <col width="40" customWidth="1" min="2" max="2"/>
    <col width="18" customWidth="1" min="3" max="3"/>
    <col width="18" customWidth="1" min="4" max="4"/>
    <col width="20" customWidth="1" min="5" max="5"/>
  </cols>
  <sheetData>
    <row r="1">
      <c r="A1" s="12">
        <f>HYPERLINK("#Home!A1", "&lt;- Go to Dashboard")</f>
        <v/>
      </c>
    </row>
    <row r="2">
      <c r="A2" s="26" t="inlineStr">
        <is>
          <t>Mock Enterprise Ltd.</t>
        </is>
      </c>
    </row>
    <row r="3">
      <c r="A3" s="27" t="inlineStr">
        <is>
          <t>Profit &amp; Loss for the year ended March 31, 2025</t>
        </is>
      </c>
    </row>
    <row r="5">
      <c r="A5" s="28" t="inlineStr">
        <is>
          <t>Node Code</t>
        </is>
      </c>
      <c r="B5" s="28" t="inlineStr">
        <is>
          <t>Particulars</t>
        </is>
      </c>
      <c r="C5" s="29" t="inlineStr">
        <is>
          <t>31 March 2025</t>
        </is>
      </c>
      <c r="D5" s="29" t="inlineStr">
        <is>
          <t>31 March 2024</t>
        </is>
      </c>
    </row>
    <row r="6" ht="20" customHeight="1">
      <c r="A6" s="30" t="inlineStr">
        <is>
          <t>3</t>
        </is>
      </c>
      <c r="B6" s="31" t="inlineStr">
        <is>
          <t>INCOME</t>
        </is>
      </c>
      <c r="C6" s="32">
        <f>SUM(C7:C8)</f>
        <v/>
      </c>
      <c r="D6" s="32">
        <f>SUM(D7:D8)</f>
        <v/>
      </c>
    </row>
    <row r="7" ht="20" customHeight="1">
      <c r="A7" s="30" t="inlineStr">
        <is>
          <t>3.1</t>
        </is>
      </c>
      <c r="B7" s="35" t="inlineStr">
        <is>
          <t>Revenue from operations</t>
        </is>
      </c>
      <c r="C7" s="36">
        <f>(-SUMIFS('TB'!$K$6:$K$500, 'TB'!$O$6:$O$500, A7)) / 'BD'!$B$8</f>
        <v/>
      </c>
      <c r="D7" s="36">
        <f>(-SUMIFS('TB'!$H$6:$H$500, 'TB'!$O$6:$O$500, A7)) / 'BD'!$B$8</f>
        <v/>
      </c>
    </row>
    <row r="8" ht="20" customHeight="1">
      <c r="A8" s="30" t="inlineStr">
        <is>
          <t>3.2</t>
        </is>
      </c>
      <c r="B8" s="35" t="inlineStr">
        <is>
          <t>Other income</t>
        </is>
      </c>
      <c r="C8" s="36">
        <f>(-SUMIFS('TB'!$K$6:$K$500, 'TB'!$O$6:$O$500, A8)) / 'BD'!$B$8</f>
        <v/>
      </c>
      <c r="D8" s="36">
        <f>(-SUMIFS('TB'!$H$6:$H$500, 'TB'!$O$6:$O$500, A8)) / 'BD'!$B$8</f>
        <v/>
      </c>
    </row>
    <row r="9" ht="20" customHeight="1">
      <c r="A9" s="30" t="inlineStr">
        <is>
          <t>4</t>
        </is>
      </c>
      <c r="B9" s="31" t="inlineStr">
        <is>
          <t>EXPENSES</t>
        </is>
      </c>
      <c r="C9" s="32">
        <f>SUM(C10:C15)</f>
        <v/>
      </c>
      <c r="D9" s="32">
        <f>SUM(D10:D15)</f>
        <v/>
      </c>
    </row>
    <row r="10" ht="20" customHeight="1">
      <c r="A10" s="30" t="inlineStr">
        <is>
          <t>4.1</t>
        </is>
      </c>
      <c r="B10" s="35" t="inlineStr">
        <is>
          <t>Cost of materials consumed</t>
        </is>
      </c>
      <c r="C10" s="36">
        <f>(SUMIFS('TB'!$K$6:$K$500, 'TB'!$O$6:$O$500, A10)) / 'BD'!$B$8</f>
        <v/>
      </c>
      <c r="D10" s="36">
        <f>(SUMIFS('TB'!$H$6:$H$500, 'TB'!$O$6:$O$500, A10)) / 'BD'!$B$8</f>
        <v/>
      </c>
    </row>
    <row r="11" ht="20" customHeight="1">
      <c r="A11" s="30" t="inlineStr">
        <is>
          <t>4.2</t>
        </is>
      </c>
      <c r="B11" s="35" t="inlineStr">
        <is>
          <t>Purchase of Stock-in-Trade</t>
        </is>
      </c>
      <c r="C11" s="36">
        <f>(SUMIFS('TB'!$K$6:$K$500, 'TB'!$O$6:$O$500, A11)) / 'BD'!$B$8</f>
        <v/>
      </c>
      <c r="D11" s="36">
        <f>(SUMIFS('TB'!$H$6:$H$500, 'TB'!$O$6:$O$500, A11)) / 'BD'!$B$8</f>
        <v/>
      </c>
    </row>
    <row r="12" ht="20" customHeight="1">
      <c r="A12" s="30" t="inlineStr">
        <is>
          <t>4.3</t>
        </is>
      </c>
      <c r="B12" s="35" t="inlineStr">
        <is>
          <t>Employee benefits expense</t>
        </is>
      </c>
      <c r="C12" s="36">
        <f>(SUMIFS('TB'!$K$6:$K$500, 'TB'!$O$6:$O$500, A12)) / 'BD'!$B$8</f>
        <v/>
      </c>
      <c r="D12" s="36">
        <f>(SUMIFS('TB'!$H$6:$H$500, 'TB'!$O$6:$O$500, A12)) / 'BD'!$B$8</f>
        <v/>
      </c>
    </row>
    <row r="13" ht="20" customHeight="1">
      <c r="A13" s="30" t="inlineStr">
        <is>
          <t>4.4</t>
        </is>
      </c>
      <c r="B13" s="35" t="inlineStr">
        <is>
          <t>Finance costs</t>
        </is>
      </c>
      <c r="C13" s="36">
        <f>(SUMIFS('TB'!$K$6:$K$500, 'TB'!$O$6:$O$500, A13)) / 'BD'!$B$8</f>
        <v/>
      </c>
      <c r="D13" s="36">
        <f>(SUMIFS('TB'!$H$6:$H$500, 'TB'!$O$6:$O$500, A13)) / 'BD'!$B$8</f>
        <v/>
      </c>
    </row>
    <row r="14" ht="20" customHeight="1">
      <c r="A14" s="30" t="inlineStr">
        <is>
          <t>4.5</t>
        </is>
      </c>
      <c r="B14" s="35" t="inlineStr">
        <is>
          <t>Depreciation and amortization expense</t>
        </is>
      </c>
      <c r="C14" s="36">
        <f>(SUMIFS('TB'!$K$6:$K$500, 'TB'!$O$6:$O$500, A14)) / 'BD'!$B$8</f>
        <v/>
      </c>
      <c r="D14" s="36">
        <f>(SUMIFS('TB'!$H$6:$H$500, 'TB'!$O$6:$O$500, A14)) / 'BD'!$B$8</f>
        <v/>
      </c>
    </row>
    <row r="15" ht="20" customHeight="1">
      <c r="A15" s="30" t="inlineStr">
        <is>
          <t>4.6</t>
        </is>
      </c>
      <c r="B15" s="35" t="inlineStr">
        <is>
          <t>Other expenses</t>
        </is>
      </c>
      <c r="C15" s="36">
        <f>(SUMIFS('TB'!$K$6:$K$500, 'TB'!$O$6:$O$500, A15)) / 'BD'!$B$8</f>
        <v/>
      </c>
      <c r="D15" s="36">
        <f>(SUMIFS('TB'!$H$6:$H$500, 'TB'!$O$6:$O$500, A15)) / 'BD'!$B$8</f>
        <v/>
      </c>
    </row>
  </sheetData>
  <mergeCells count="2">
    <mergeCell ref="A3:D3"/>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2"/>
  <sheetViews>
    <sheetView showGridLines="1" workbookViewId="0">
      <selection activeCell="A1" sqref="A1"/>
    </sheetView>
  </sheetViews>
  <sheetFormatPr baseColWidth="8" defaultRowHeight="15"/>
  <cols>
    <col width="45" customWidth="1" min="1" max="1"/>
    <col width="18" customWidth="1" min="2" max="2"/>
  </cols>
  <sheetData>
    <row r="1">
      <c r="A1" s="12">
        <f>HYPERLINK("#Home!A1", "&lt;- Go to Dashboard")</f>
        <v/>
      </c>
    </row>
    <row r="2">
      <c r="A2" s="26" t="inlineStr">
        <is>
          <t>Indirect Cash Flow Statement</t>
        </is>
      </c>
    </row>
    <row r="4">
      <c r="A4" s="24" t="inlineStr">
        <is>
          <t>Particulars</t>
        </is>
      </c>
      <c r="B4" s="24" t="inlineStr">
        <is>
          <t>Amount</t>
        </is>
      </c>
    </row>
    <row r="5">
      <c r="A5" s="18" t="inlineStr">
        <is>
          <t>Cash Flow from Operating Activities</t>
        </is>
      </c>
      <c r="B5" s="37" t="inlineStr"/>
    </row>
    <row r="6">
      <c r="A6" s="18" t="inlineStr">
        <is>
          <t>Net Profit Before Tax</t>
        </is>
      </c>
      <c r="B6" s="19">
        <f>IFERROR(VLOOKUP("3", 'PL'!$A:$D, 3, FALSE), 0) - IFERROR(VLOOKUP("4", 'PL'!$A:$D, 3, FALSE), 0)</f>
        <v/>
      </c>
    </row>
    <row r="7">
      <c r="A7" s="18" t="inlineStr">
        <is>
          <t>Adjustment: Depreciation and Amortization</t>
        </is>
      </c>
      <c r="B7" s="19">
        <f>IFERROR(VLOOKUP("4.5", 'PL'!$A:$D, 3, FALSE), 0)</f>
        <v/>
      </c>
    </row>
    <row r="8">
      <c r="A8" s="18" t="inlineStr">
        <is>
          <t>Operating Profit before Working Capital Changes</t>
        </is>
      </c>
      <c r="B8" s="19">
        <f>SUM(B6:B7)</f>
        <v/>
      </c>
    </row>
    <row r="9">
      <c r="A9" s="18" t="inlineStr">
        <is>
          <t>Changes in Trade Payables</t>
        </is>
      </c>
      <c r="B9" s="19">
        <f>IFERROR(VLOOKUP("1.3.2", 'BS'!$A:$D, 3, FALSE), 0) - IFERROR(VLOOKUP("1.3.2", 'BS'!$A:$D, 4, FALSE), 0)</f>
        <v/>
      </c>
    </row>
    <row r="10">
      <c r="A10" s="18" t="inlineStr">
        <is>
          <t>Changes in Trade Receivables</t>
        </is>
      </c>
      <c r="B10" s="19">
        <f>-(IFERROR(VLOOKUP("2.2.3", 'BS'!$A:$D, 3, FALSE), 0) - IFERROR(VLOOKUP("2.2.3", 'BS'!$A:$D, 4, FALSE), 0))</f>
        <v/>
      </c>
    </row>
    <row r="11">
      <c r="A11" s="18" t="inlineStr">
        <is>
          <t>Changes in Inventories</t>
        </is>
      </c>
      <c r="B11" s="19">
        <f>-(IFERROR(VLOOKUP("2.2.2", 'BS'!$A:$D, 3, FALSE), 0) - IFERROR(VLOOKUP("2.2.2", 'BS'!$A:$D, 4, FALSE), 0))</f>
        <v/>
      </c>
    </row>
    <row r="12">
      <c r="A12" s="18" t="inlineStr">
        <is>
          <t>Net Cash from Operating Activities</t>
        </is>
      </c>
      <c r="B12" s="37">
        <f>B8+B9+B10+B11</f>
        <v/>
      </c>
    </row>
    <row r="13">
      <c r="A13" s="18" t="inlineStr">
        <is>
          <t>Cash Flow from Investing Activities</t>
        </is>
      </c>
      <c r="B13" s="37" t="inlineStr"/>
    </row>
    <row r="14">
      <c r="A14" s="18" t="inlineStr">
        <is>
          <t>Purchase of Property, Plant and Equipment</t>
        </is>
      </c>
      <c r="B14" s="19">
        <f>-(IFERROR(VLOOKUP("2.1.1.1", 'BS'!$A:$D, 3, FALSE), 0) - IFERROR(VLOOKUP("2.1.1.1", 'BS'!$A:$D, 4, FALSE), 0))</f>
        <v/>
      </c>
    </row>
    <row r="15">
      <c r="A15" s="18" t="inlineStr">
        <is>
          <t>Net Cash from Investing Activities</t>
        </is>
      </c>
      <c r="B15" s="37">
        <f>B14</f>
        <v/>
      </c>
    </row>
    <row r="16">
      <c r="A16" s="18" t="inlineStr">
        <is>
          <t>Cash Flow from Financing Activities</t>
        </is>
      </c>
      <c r="B16" s="37" t="inlineStr"/>
    </row>
    <row r="17">
      <c r="A17" s="18" t="inlineStr">
        <is>
          <t>Proceeds from Share Capital</t>
        </is>
      </c>
      <c r="B17" s="19">
        <f>IFERROR(VLOOKUP("1.1.1", 'BS'!$A:$D, 3, FALSE), 0) - IFERROR(VLOOKUP("1.1.1", 'BS'!$A:$D, 4, FALSE), 0)</f>
        <v/>
      </c>
    </row>
    <row r="18">
      <c r="A18" s="18" t="inlineStr">
        <is>
          <t>Proceeds from Long-term Borrowings</t>
        </is>
      </c>
      <c r="B18" s="19">
        <f>IFERROR(VLOOKUP("1.2.1", 'BS'!$A:$D, 3, FALSE), 0) - IFERROR(VLOOKUP("1.2.1", 'BS'!$A:$D, 4, FALSE), 0)</f>
        <v/>
      </c>
    </row>
    <row r="19">
      <c r="A19" s="18" t="inlineStr">
        <is>
          <t>Net Cash from Financing Activities</t>
        </is>
      </c>
      <c r="B19" s="37">
        <f>B17+B18</f>
        <v/>
      </c>
    </row>
    <row r="20">
      <c r="A20" s="18" t="inlineStr">
        <is>
          <t>Net Increase / (Decrease) in Cash</t>
        </is>
      </c>
      <c r="B20" s="37">
        <f>B12+B15+B19</f>
        <v/>
      </c>
    </row>
    <row r="21">
      <c r="A21" s="18" t="inlineStr">
        <is>
          <t>Opening Cash &amp; Cash Equivalents</t>
        </is>
      </c>
      <c r="B21" s="19">
        <f>IFERROR(VLOOKUP("2.2.4", 'BS'!$A:$D, 4, FALSE), 0)</f>
        <v/>
      </c>
    </row>
    <row r="22">
      <c r="A22" s="18" t="inlineStr">
        <is>
          <t>Closing Cash &amp; Cash Equivalents</t>
        </is>
      </c>
      <c r="B22" s="37">
        <f>B20+B21</f>
        <v/>
      </c>
    </row>
  </sheetData>
  <mergeCells count="1">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2"/>
  <sheetViews>
    <sheetView showGridLines="1" workbookViewId="0">
      <selection activeCell="A1" sqref="A1"/>
    </sheetView>
  </sheetViews>
  <sheetFormatPr baseColWidth="8" defaultRowHeight="15"/>
  <cols>
    <col width="45" customWidth="1" min="1" max="1"/>
    <col width="15" customWidth="1" min="2" max="2"/>
    <col width="15" customWidth="1" min="3" max="3"/>
    <col width="15" customWidth="1" min="4" max="4"/>
    <col width="15" customWidth="1" min="5" max="5"/>
    <col width="10" customWidth="1" min="6" max="6"/>
    <col width="15" customWidth="1" min="7" max="7"/>
  </cols>
  <sheetData>
    <row r="1">
      <c r="A1" s="12">
        <f>HYPERLINK("#Home!A1", "&lt;- Go to Dashboard")</f>
        <v/>
      </c>
    </row>
    <row r="2" ht="25" customHeight="1">
      <c r="A2" s="14" t="inlineStr">
        <is>
          <t>Ageing Schedules (Trade Receivables &amp; Payables)</t>
        </is>
      </c>
    </row>
    <row r="4" ht="20" customHeight="1">
      <c r="A4" s="38" t="inlineStr">
        <is>
          <t>Trade Receivables Ageing Schedule</t>
        </is>
      </c>
    </row>
    <row r="5" ht="24" customHeight="1">
      <c r="A5" s="39" t="inlineStr">
        <is>
          <t>Particulars</t>
        </is>
      </c>
      <c r="B5" s="40" t="inlineStr">
        <is>
          <t>Less than 6 months</t>
        </is>
      </c>
      <c r="C5" s="40" t="inlineStr">
        <is>
          <t>6 months - 1 year</t>
        </is>
      </c>
      <c r="D5" s="40" t="inlineStr">
        <is>
          <t>1 - 2 years</t>
        </is>
      </c>
      <c r="E5" s="40" t="inlineStr">
        <is>
          <t>2 - 3 years</t>
        </is>
      </c>
      <c r="F5" s="40" t="inlineStr">
        <is>
          <t>More than 3 years</t>
        </is>
      </c>
      <c r="G5" s="40" t="inlineStr">
        <is>
          <t>Total</t>
        </is>
      </c>
    </row>
    <row r="6" ht="20" customHeight="1">
      <c r="A6" s="18" t="inlineStr">
        <is>
          <t>(i) Undisputed Trade Receivables - considered good</t>
        </is>
      </c>
      <c r="B6" s="25" t="n">
        <v>0</v>
      </c>
      <c r="C6" s="25" t="n">
        <v>0</v>
      </c>
      <c r="D6" s="25" t="n">
        <v>0</v>
      </c>
      <c r="E6" s="25" t="n">
        <v>0</v>
      </c>
      <c r="F6" s="25" t="n">
        <v>0</v>
      </c>
      <c r="G6" s="41">
        <f>SUM(B6:F6)</f>
        <v/>
      </c>
    </row>
    <row r="7" ht="20" customHeight="1">
      <c r="A7" s="18" t="inlineStr">
        <is>
          <t>(ii) Undisputed Trade Receivables - considered doubtful</t>
        </is>
      </c>
      <c r="B7" s="25" t="n">
        <v>0</v>
      </c>
      <c r="C7" s="25" t="n">
        <v>0</v>
      </c>
      <c r="D7" s="25" t="n">
        <v>0</v>
      </c>
      <c r="E7" s="25" t="n">
        <v>0</v>
      </c>
      <c r="F7" s="25" t="n">
        <v>0</v>
      </c>
      <c r="G7" s="41">
        <f>SUM(B7:F7)</f>
        <v/>
      </c>
    </row>
    <row r="8" ht="20" customHeight="1">
      <c r="A8" s="18" t="inlineStr">
        <is>
          <t>(iii) Disputed Trade Receivables - considered good</t>
        </is>
      </c>
      <c r="B8" s="25" t="n">
        <v>0</v>
      </c>
      <c r="C8" s="25" t="n">
        <v>0</v>
      </c>
      <c r="D8" s="25" t="n">
        <v>0</v>
      </c>
      <c r="E8" s="25" t="n">
        <v>0</v>
      </c>
      <c r="F8" s="25" t="n">
        <v>0</v>
      </c>
      <c r="G8" s="41">
        <f>SUM(B8:F8)</f>
        <v/>
      </c>
    </row>
    <row r="9" ht="20" customHeight="1">
      <c r="A9" s="18" t="inlineStr">
        <is>
          <t>(iv) Disputed Trade Receivables - considered doubtful</t>
        </is>
      </c>
      <c r="B9" s="25" t="n">
        <v>0</v>
      </c>
      <c r="C9" s="25" t="n">
        <v>0</v>
      </c>
      <c r="D9" s="25" t="n">
        <v>0</v>
      </c>
      <c r="E9" s="25" t="n">
        <v>0</v>
      </c>
      <c r="F9" s="25" t="n">
        <v>0</v>
      </c>
      <c r="G9" s="41">
        <f>SUM(B9:F9)</f>
        <v/>
      </c>
    </row>
    <row r="10" ht="20" customHeight="1">
      <c r="A10" s="20" t="inlineStr">
        <is>
          <t>Total Trade Receivables</t>
        </is>
      </c>
      <c r="B10" s="22">
        <f>SUM(B6:B9)</f>
        <v/>
      </c>
      <c r="C10" s="22">
        <f>SUM(C6:C9)</f>
        <v/>
      </c>
      <c r="D10" s="22">
        <f>SUM(D6:D9)</f>
        <v/>
      </c>
      <c r="E10" s="22">
        <f>SUM(E6:E9)</f>
        <v/>
      </c>
      <c r="F10" s="22">
        <f>SUM(F6:F9)</f>
        <v/>
      </c>
      <c r="G10" s="22">
        <f>SUM(G6:G9)</f>
        <v/>
      </c>
    </row>
    <row r="11" ht="20" customHeight="1">
      <c r="A11" s="42" t="inlineStr">
        <is>
          <t>Balance Sheet Control Total</t>
        </is>
      </c>
      <c r="G11" s="43">
        <f>IFERROR(VLOOKUP("2.2.3", 'BS'!$A:$D, 3, FALSE), 0)</f>
        <v/>
      </c>
    </row>
    <row r="12" ht="20" customHeight="1">
      <c r="A12" s="44" t="inlineStr">
        <is>
          <t>Unreconciled Difference</t>
        </is>
      </c>
      <c r="G12" s="45">
        <f>G10-G11</f>
        <v/>
      </c>
    </row>
    <row r="14" ht="20" customHeight="1">
      <c r="A14" s="38" t="inlineStr">
        <is>
          <t>Trade Payables Ageing Schedule</t>
        </is>
      </c>
    </row>
    <row r="15" ht="24" customHeight="1">
      <c r="A15" s="39" t="inlineStr">
        <is>
          <t>Particulars</t>
        </is>
      </c>
      <c r="B15" s="40" t="inlineStr">
        <is>
          <t>Less than 1 year</t>
        </is>
      </c>
      <c r="C15" s="40" t="inlineStr">
        <is>
          <t>1 - 2 years</t>
        </is>
      </c>
      <c r="D15" s="40" t="inlineStr">
        <is>
          <t>2 - 3 years</t>
        </is>
      </c>
      <c r="E15" s="40" t="inlineStr">
        <is>
          <t>More than 3 years</t>
        </is>
      </c>
      <c r="F15" s="46" t="n"/>
      <c r="G15" s="40" t="inlineStr">
        <is>
          <t>Total</t>
        </is>
      </c>
    </row>
    <row r="16" ht="20" customHeight="1">
      <c r="A16" s="18" t="inlineStr">
        <is>
          <t>(i) MSME</t>
        </is>
      </c>
      <c r="B16" s="25" t="n">
        <v>0</v>
      </c>
      <c r="C16" s="25" t="n">
        <v>0</v>
      </c>
      <c r="D16" s="25" t="n">
        <v>0</v>
      </c>
      <c r="E16" s="25" t="n">
        <v>0</v>
      </c>
      <c r="F16" s="47" t="inlineStr">
        <is>
          <t>-</t>
        </is>
      </c>
      <c r="G16" s="41">
        <f>SUM(B16:E16)</f>
        <v/>
      </c>
    </row>
    <row r="17" ht="20" customHeight="1">
      <c r="A17" s="18" t="inlineStr">
        <is>
          <t>(ii) Others</t>
        </is>
      </c>
      <c r="B17" s="25" t="n">
        <v>0</v>
      </c>
      <c r="C17" s="25" t="n">
        <v>0</v>
      </c>
      <c r="D17" s="25" t="n">
        <v>0</v>
      </c>
      <c r="E17" s="25" t="n">
        <v>0</v>
      </c>
      <c r="F17" s="47" t="inlineStr">
        <is>
          <t>-</t>
        </is>
      </c>
      <c r="G17" s="41">
        <f>SUM(B17:E17)</f>
        <v/>
      </c>
    </row>
    <row r="18" ht="20" customHeight="1">
      <c r="A18" s="18" t="inlineStr">
        <is>
          <t>(iii) Disputed dues - MSME</t>
        </is>
      </c>
      <c r="B18" s="25" t="n">
        <v>0</v>
      </c>
      <c r="C18" s="25" t="n">
        <v>0</v>
      </c>
      <c r="D18" s="25" t="n">
        <v>0</v>
      </c>
      <c r="E18" s="25" t="n">
        <v>0</v>
      </c>
      <c r="F18" s="47" t="inlineStr">
        <is>
          <t>-</t>
        </is>
      </c>
      <c r="G18" s="41">
        <f>SUM(B18:E18)</f>
        <v/>
      </c>
    </row>
    <row r="19" ht="20" customHeight="1">
      <c r="A19" s="18" t="inlineStr">
        <is>
          <t>(iv) Disputed dues - Others</t>
        </is>
      </c>
      <c r="B19" s="25" t="n">
        <v>0</v>
      </c>
      <c r="C19" s="25" t="n">
        <v>0</v>
      </c>
      <c r="D19" s="25" t="n">
        <v>0</v>
      </c>
      <c r="E19" s="25" t="n">
        <v>0</v>
      </c>
      <c r="F19" s="47" t="inlineStr">
        <is>
          <t>-</t>
        </is>
      </c>
      <c r="G19" s="41">
        <f>SUM(B19:E19)</f>
        <v/>
      </c>
    </row>
    <row r="20" ht="20" customHeight="1">
      <c r="A20" s="20" t="inlineStr">
        <is>
          <t>Total Trade Payables</t>
        </is>
      </c>
      <c r="B20" s="22">
        <f>SUM(B16:B19)</f>
        <v/>
      </c>
      <c r="C20" s="22">
        <f>SUM(C16:C19)</f>
        <v/>
      </c>
      <c r="D20" s="22">
        <f>SUM(D16:D19)</f>
        <v/>
      </c>
      <c r="E20" s="22">
        <f>SUM(E16:E19)</f>
        <v/>
      </c>
      <c r="F20" s="48" t="inlineStr">
        <is>
          <t>-</t>
        </is>
      </c>
      <c r="G20" s="22">
        <f>SUM(G16:G19)</f>
        <v/>
      </c>
    </row>
    <row r="21" ht="20" customHeight="1">
      <c r="A21" s="42" t="inlineStr">
        <is>
          <t>Balance Sheet Control Total</t>
        </is>
      </c>
      <c r="G21" s="43">
        <f>IFERROR(VLOOKUP("1.3.2", 'BS'!$A:$D, 3, FALSE), 0)</f>
        <v/>
      </c>
    </row>
    <row r="22" ht="20" customHeight="1">
      <c r="A22" s="44" t="inlineStr">
        <is>
          <t>Unreconciled Difference</t>
        </is>
      </c>
      <c r="G22" s="45">
        <f>G20-G21</f>
        <v/>
      </c>
    </row>
  </sheetData>
  <mergeCells count="3">
    <mergeCell ref="A14:G14"/>
    <mergeCell ref="A2:G2"/>
    <mergeCell ref="A4:G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2"/>
  <sheetViews>
    <sheetView showGridLines="1" workbookViewId="0">
      <selection activeCell="A1" sqref="A1"/>
    </sheetView>
  </sheetViews>
  <sheetFormatPr baseColWidth="8" defaultRowHeight="15"/>
  <sheetData>
    <row r="1">
      <c r="A1" s="12">
        <f>HYPERLINK("#Home!A1", "&lt;- Go to Dashboard")</f>
        <v/>
      </c>
    </row>
    <row r="3">
      <c r="A3" s="49" t="inlineStr">
        <is>
          <t>Note 1: Significant Accounting Policies</t>
        </is>
      </c>
    </row>
    <row r="5">
      <c r="A5" s="30" t="inlineStr">
        <is>
          <t>1. Basis of Preparation:</t>
        </is>
      </c>
    </row>
    <row r="6">
      <c r="A6" s="30" t="inlineStr">
        <is>
          <t>The financial statements are prepared under historical cost convention on an accrual basis of accounting in accordance with the standard Indian Accounting Standards (AS) and the provisions of the Companies Act, 2013.</t>
        </is>
      </c>
    </row>
    <row r="7">
      <c r="A7" s="30" t="inlineStr"/>
    </row>
    <row r="8">
      <c r="A8" s="30" t="inlineStr">
        <is>
          <t>2. Property, Plant and Equipment (PPE):</t>
        </is>
      </c>
    </row>
    <row r="9">
      <c r="A9" s="30" t="inlineStr">
        <is>
          <t>PPE are stated at cost of acquisition less accumulated depreciation. Depreciation is calculated using the Straight Line Method (SLM) based on the useful lives of assets prescribed under Schedule II of the Companies Act, 2013.</t>
        </is>
      </c>
    </row>
    <row r="10">
      <c r="A10" s="30" t="inlineStr"/>
    </row>
    <row r="11">
      <c r="A11" s="30" t="inlineStr">
        <is>
          <t>3. Revenue Recognition:</t>
        </is>
      </c>
    </row>
    <row r="12">
      <c r="A12" s="30" t="inlineStr">
        <is>
          <t>Revenue is recognized when control of the goods or services is transferred to the customer at an amount that reflects the consideration to which the company expects to be entitled.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7"/>
  <sheetViews>
    <sheetView showGridLines="1" workbookViewId="0">
      <selection activeCell="A1" sqref="A1"/>
    </sheetView>
  </sheetViews>
  <sheetFormatPr baseColWidth="8" defaultRowHeight="15"/>
  <sheetData>
    <row r="1">
      <c r="A1" s="12">
        <f>HYPERLINK("#Home!A1", "&lt;- Go to Dashboard")</f>
        <v/>
      </c>
    </row>
    <row r="4">
      <c r="A4" s="50" t="inlineStr">
        <is>
          <t>Note 2: Share Capital</t>
        </is>
      </c>
    </row>
    <row r="5">
      <c r="A5" s="24" t="inlineStr">
        <is>
          <t>GL Code</t>
        </is>
      </c>
      <c r="B5" s="24" t="inlineStr">
        <is>
          <t>GL Particulars</t>
        </is>
      </c>
      <c r="C5" s="24" t="inlineStr">
        <is>
          <t>Amount</t>
        </is>
      </c>
    </row>
    <row r="6">
      <c r="A6" s="18" t="inlineStr">
        <is>
          <t>1001</t>
        </is>
      </c>
      <c r="B6" s="18" t="inlineStr">
        <is>
          <t>Equity Share Capital</t>
        </is>
      </c>
      <c r="C6" s="19">
        <f>IFERROR(VLOOKUP(A6, 'TB'!$A:$O, 11, FALSE), 0) / 'BD'!$B$8</f>
        <v/>
      </c>
    </row>
    <row r="7">
      <c r="A7" s="51" t="n"/>
      <c r="B7" s="51" t="inlineStr">
        <is>
          <t>Total Share Capital</t>
        </is>
      </c>
      <c r="C7" s="52">
        <f>SUM(C6:C6)</f>
        <v/>
      </c>
    </row>
    <row r="9">
      <c r="A9" s="50" t="inlineStr">
        <is>
          <t>Note 3: Reserves and Surplus</t>
        </is>
      </c>
    </row>
    <row r="10">
      <c r="A10" s="24" t="inlineStr">
        <is>
          <t>GL Code</t>
        </is>
      </c>
      <c r="B10" s="24" t="inlineStr">
        <is>
          <t>GL Particulars</t>
        </is>
      </c>
      <c r="C10" s="24" t="inlineStr">
        <is>
          <t>Amount</t>
        </is>
      </c>
    </row>
    <row r="11">
      <c r="A11" s="18" t="inlineStr">
        <is>
          <t>1002</t>
        </is>
      </c>
      <c r="B11" s="18" t="inlineStr">
        <is>
          <t>Retained Earnings</t>
        </is>
      </c>
      <c r="C11" s="19">
        <f>IFERROR(VLOOKUP(A11, 'TB'!$A:$O, 11, FALSE), 0) / 'BD'!$B$8</f>
        <v/>
      </c>
    </row>
    <row r="12">
      <c r="A12" s="51" t="n"/>
      <c r="B12" s="51" t="inlineStr">
        <is>
          <t>Total Reserves and Surplus</t>
        </is>
      </c>
      <c r="C12" s="52">
        <f>SUM(C11:C11)</f>
        <v/>
      </c>
    </row>
    <row r="14">
      <c r="A14" s="50" t="inlineStr">
        <is>
          <t>Note 4: Trade Payables</t>
        </is>
      </c>
    </row>
    <row r="15">
      <c r="A15" s="24" t="inlineStr">
        <is>
          <t>GL Code</t>
        </is>
      </c>
      <c r="B15" s="24" t="inlineStr">
        <is>
          <t>GL Particulars</t>
        </is>
      </c>
      <c r="C15" s="24" t="inlineStr">
        <is>
          <t>Amount</t>
        </is>
      </c>
    </row>
    <row r="16">
      <c r="A16" s="18" t="inlineStr">
        <is>
          <t>3001</t>
        </is>
      </c>
      <c r="B16" s="18" t="inlineStr">
        <is>
          <t>Trade Creditors</t>
        </is>
      </c>
      <c r="C16" s="19">
        <f>IFERROR(VLOOKUP(A16, 'TB'!$A:$O, 11, FALSE), 0) / 'BD'!$B$8</f>
        <v/>
      </c>
    </row>
    <row r="17">
      <c r="A17" s="51" t="n"/>
      <c r="B17" s="51" t="inlineStr">
        <is>
          <t>Total Trade Payables</t>
        </is>
      </c>
      <c r="C17" s="52">
        <f>SUM(C16:C16)</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7"/>
  <sheetViews>
    <sheetView showGridLines="1" workbookViewId="0">
      <selection activeCell="A1" sqref="A1"/>
    </sheetView>
  </sheetViews>
  <sheetFormatPr baseColWidth="8" defaultRowHeight="15"/>
  <sheetData>
    <row r="1">
      <c r="A1" s="12">
        <f>HYPERLINK("#Home!A1", "&lt;- Go to Dashboard")</f>
        <v/>
      </c>
    </row>
    <row r="4">
      <c r="A4" s="50" t="inlineStr">
        <is>
          <t>Note 5: Property, Plant and Equipment</t>
        </is>
      </c>
    </row>
    <row r="5">
      <c r="A5" s="24" t="inlineStr">
        <is>
          <t>GL Code</t>
        </is>
      </c>
      <c r="B5" s="24" t="inlineStr">
        <is>
          <t>GL Particulars</t>
        </is>
      </c>
      <c r="C5" s="24" t="inlineStr">
        <is>
          <t>Amount</t>
        </is>
      </c>
    </row>
    <row r="6">
      <c r="A6" s="18" t="inlineStr">
        <is>
          <t>4001</t>
        </is>
      </c>
      <c r="B6" s="18" t="inlineStr">
        <is>
          <t>Plant and Machinery</t>
        </is>
      </c>
      <c r="C6" s="19">
        <f>IFERROR(VLOOKUP(A6, 'TB'!$A:$O, 11, FALSE), 0) / 'BD'!$B$8</f>
        <v/>
      </c>
    </row>
    <row r="7">
      <c r="A7" s="51" t="n"/>
      <c r="B7" s="51" t="inlineStr">
        <is>
          <t>Total Property, Plant and Equipment</t>
        </is>
      </c>
      <c r="C7" s="52">
        <f>SUM(C6:C6)</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2"/>
  <sheetViews>
    <sheetView showGridLines="1" workbookViewId="0">
      <selection activeCell="A1" sqref="A1"/>
    </sheetView>
  </sheetViews>
  <sheetFormatPr baseColWidth="8" defaultRowHeight="15"/>
  <sheetData>
    <row r="1">
      <c r="A1" s="12">
        <f>HYPERLINK("#Home!A1", "&lt;- Go to Dashboard")</f>
        <v/>
      </c>
    </row>
    <row r="4">
      <c r="A4" s="50" t="inlineStr">
        <is>
          <t>Note 6: Trade Receivables</t>
        </is>
      </c>
    </row>
    <row r="5">
      <c r="A5" s="24" t="inlineStr">
        <is>
          <t>GL Code</t>
        </is>
      </c>
      <c r="B5" s="24" t="inlineStr">
        <is>
          <t>GL Particulars</t>
        </is>
      </c>
      <c r="C5" s="24" t="inlineStr">
        <is>
          <t>Amount</t>
        </is>
      </c>
    </row>
    <row r="6">
      <c r="A6" s="18" t="inlineStr">
        <is>
          <t>5002</t>
        </is>
      </c>
      <c r="B6" s="18" t="inlineStr">
        <is>
          <t>Accounts Receivable</t>
        </is>
      </c>
      <c r="C6" s="19">
        <f>IFERROR(VLOOKUP(A6, 'TB'!$A:$O, 11, FALSE), 0) / 'BD'!$B$8</f>
        <v/>
      </c>
    </row>
    <row r="7">
      <c r="A7" s="51" t="n"/>
      <c r="B7" s="51" t="inlineStr">
        <is>
          <t>Total Trade Receivables</t>
        </is>
      </c>
      <c r="C7" s="52">
        <f>SUM(C6:C6)</f>
        <v/>
      </c>
    </row>
    <row r="9">
      <c r="A9" s="50" t="inlineStr">
        <is>
          <t>Note 7: Cash and Cash Equivalents</t>
        </is>
      </c>
    </row>
    <row r="10">
      <c r="A10" s="24" t="inlineStr">
        <is>
          <t>GL Code</t>
        </is>
      </c>
      <c r="B10" s="24" t="inlineStr">
        <is>
          <t>GL Particulars</t>
        </is>
      </c>
      <c r="C10" s="24" t="inlineStr">
        <is>
          <t>Amount</t>
        </is>
      </c>
    </row>
    <row r="11">
      <c r="A11" s="18" t="inlineStr">
        <is>
          <t>5001</t>
        </is>
      </c>
      <c r="B11" s="18" t="inlineStr">
        <is>
          <t>HDFC Bank A/c</t>
        </is>
      </c>
      <c r="C11" s="19">
        <f>IFERROR(VLOOKUP(A11, 'TB'!$A:$O, 11, FALSE), 0) / 'BD'!$B$8</f>
        <v/>
      </c>
    </row>
    <row r="12">
      <c r="A12" s="51" t="n"/>
      <c r="B12" s="51" t="inlineStr">
        <is>
          <t>Total Cash and Cash Equivalents</t>
        </is>
      </c>
      <c r="C12" s="52">
        <f>SUM(C11:C11)</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2"/>
  <sheetViews>
    <sheetView showGridLines="1" workbookViewId="0">
      <selection activeCell="A1" sqref="A1"/>
    </sheetView>
  </sheetViews>
  <sheetFormatPr baseColWidth="8" defaultRowHeight="15"/>
  <sheetData>
    <row r="1">
      <c r="A1" s="12">
        <f>HYPERLINK("#Home!A1", "&lt;- Go to Dashboard")</f>
        <v/>
      </c>
    </row>
    <row r="4">
      <c r="A4" s="50" t="inlineStr">
        <is>
          <t>Note 8: Revenue from Operations</t>
        </is>
      </c>
    </row>
    <row r="5">
      <c r="A5" s="24" t="inlineStr">
        <is>
          <t>GL Code</t>
        </is>
      </c>
      <c r="B5" s="24" t="inlineStr">
        <is>
          <t>GL Particulars</t>
        </is>
      </c>
      <c r="C5" s="24" t="inlineStr">
        <is>
          <t>Amount</t>
        </is>
      </c>
    </row>
    <row r="6">
      <c r="A6" s="18" t="inlineStr">
        <is>
          <t>6001</t>
        </is>
      </c>
      <c r="B6" s="18" t="inlineStr">
        <is>
          <t>Sales Revenue</t>
        </is>
      </c>
      <c r="C6" s="19">
        <f>IFERROR(VLOOKUP(A6, 'TB'!$A:$O, 11, FALSE), 0) / 'BD'!$B$8</f>
        <v/>
      </c>
    </row>
    <row r="7">
      <c r="A7" s="51" t="n"/>
      <c r="B7" s="51" t="inlineStr">
        <is>
          <t>Total Revenue from Operations</t>
        </is>
      </c>
      <c r="C7" s="52">
        <f>SUM(C6:C6)</f>
        <v/>
      </c>
    </row>
    <row r="9">
      <c r="A9" s="50" t="inlineStr">
        <is>
          <t>Note 9: Employee Benefit Expenses</t>
        </is>
      </c>
    </row>
    <row r="10">
      <c r="A10" s="24" t="inlineStr">
        <is>
          <t>GL Code</t>
        </is>
      </c>
      <c r="B10" s="24" t="inlineStr">
        <is>
          <t>GL Particulars</t>
        </is>
      </c>
      <c r="C10" s="24" t="inlineStr">
        <is>
          <t>Amount</t>
        </is>
      </c>
    </row>
    <row r="11">
      <c r="A11" s="18" t="inlineStr">
        <is>
          <t>7001</t>
        </is>
      </c>
      <c r="B11" s="18" t="inlineStr">
        <is>
          <t>Employee Salaries</t>
        </is>
      </c>
      <c r="C11" s="19">
        <f>IFERROR(VLOOKUP(A11, 'TB'!$A:$O, 11, FALSE), 0) / 'BD'!$B$8</f>
        <v/>
      </c>
    </row>
    <row r="12">
      <c r="A12" s="51" t="n"/>
      <c r="B12" s="51" t="inlineStr">
        <is>
          <t>Total Employee Benefit Expenses</t>
        </is>
      </c>
      <c r="C12" s="52">
        <f>SUM(C11:C11)</f>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7"/>
  <sheetViews>
    <sheetView showGridLines="1" workbookViewId="0">
      <selection activeCell="A1" sqref="A1"/>
    </sheetView>
  </sheetViews>
  <sheetFormatPr baseColWidth="8" defaultRowHeight="15"/>
  <cols>
    <col width="25" customWidth="1" min="1" max="1"/>
    <col width="35" customWidth="1" min="2" max="2"/>
    <col width="15" customWidth="1" min="3" max="3"/>
  </cols>
  <sheetData>
    <row r="1">
      <c r="A1" s="12">
        <f>HYPERLINK("#Home!A1", "&lt;- Go to Dashboard")</f>
        <v/>
      </c>
    </row>
    <row r="3">
      <c r="A3" s="49" t="inlineStr">
        <is>
          <t>Note 11: Analytical Ratios</t>
        </is>
      </c>
    </row>
    <row r="5">
      <c r="A5" s="24" t="inlineStr">
        <is>
          <t>Ratio Name</t>
        </is>
      </c>
      <c r="B5" s="24" t="inlineStr">
        <is>
          <t>Formula / Details</t>
        </is>
      </c>
      <c r="C5" s="24" t="inlineStr">
        <is>
          <t>Current Value</t>
        </is>
      </c>
    </row>
    <row r="6">
      <c r="A6" s="18" t="inlineStr">
        <is>
          <t>Current Ratio</t>
        </is>
      </c>
      <c r="B6" s="18" t="inlineStr">
        <is>
          <t>Current Assets / Current Liabilities</t>
        </is>
      </c>
      <c r="C6" s="53">
        <f>IFERROR(IFERROR(VLOOKUP("2.2", 'BS'!$A:$D, 3, FALSE), 0)/IFERROR(VLOOKUP("1.3", 'BS'!$A:$D, 3, FALSE), 1), 0)</f>
        <v/>
      </c>
    </row>
    <row r="7">
      <c r="A7" s="18" t="inlineStr">
        <is>
          <t>Debt to Equity Ratio</t>
        </is>
      </c>
      <c r="B7" s="18" t="inlineStr">
        <is>
          <t>Long-term Borrowings / Shareholders' Funds</t>
        </is>
      </c>
      <c r="C7" s="53">
        <f>IFERROR(IFERROR(VLOOKUP("1.2", 'BS'!$A:$D, 3, FALSE), 0)/IFERROR(VLOOKUP("1.1", 'BS'!$A:$D, 3, FALSE), 1), 0)</f>
        <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7"/>
  <sheetViews>
    <sheetView showGridLines="1" workbookViewId="0">
      <selection activeCell="A1" sqref="A1"/>
    </sheetView>
  </sheetViews>
  <sheetFormatPr baseColWidth="8" defaultRowHeight="15"/>
  <cols>
    <col width="30" customWidth="1" min="1" max="1"/>
    <col width="20" customWidth="1" min="2" max="2"/>
    <col width="20" customWidth="1" min="3" max="3"/>
    <col width="20" customWidth="1" min="5" max="5"/>
  </cols>
  <sheetData>
    <row r="1">
      <c r="A1" s="12">
        <f>HYPERLINK("#Home!A1", "&lt;- Go to Dashboard")</f>
        <v/>
      </c>
    </row>
    <row r="2">
      <c r="A2" s="23" t="inlineStr">
        <is>
          <t>Income Tax Return - Balance Sheet and Profit &amp; Loss</t>
        </is>
      </c>
    </row>
    <row r="3">
      <c r="A3" s="54" t="inlineStr">
        <is>
          <t>Year ended March 31, 2025</t>
        </is>
      </c>
    </row>
    <row r="4">
      <c r="A4" s="55" t="inlineStr">
        <is>
          <t>All amounts in INR Unrounded, unless otherwise stated</t>
        </is>
      </c>
    </row>
    <row r="5">
      <c r="A5" s="56" t="inlineStr">
        <is>
          <t>Field Name</t>
        </is>
      </c>
      <c r="B5" s="56" t="inlineStr">
        <is>
          <t>Amount CY</t>
        </is>
      </c>
      <c r="C5" s="56" t="inlineStr">
        <is>
          <t>Amount PY</t>
        </is>
      </c>
    </row>
    <row r="6">
      <c r="A6" s="18" t="inlineStr">
        <is>
          <t>Share Capital</t>
        </is>
      </c>
      <c r="B6" s="19">
        <f>IFERROR(VLOOKUP("1.1.1", BS!$A:$D, 3, FALSE), 0)</f>
        <v/>
      </c>
      <c r="C6" s="19">
        <f>IFERROR(VLOOKUP("1.1.1", BS!$A:$D, 4, FALSE), 0)</f>
        <v/>
      </c>
    </row>
    <row r="7">
      <c r="A7" s="18" t="inlineStr">
        <is>
          <t>Reserves and Surplus</t>
        </is>
      </c>
      <c r="B7" s="19">
        <f>IFERROR(VLOOKUP("1.1.2", BS!$A:$D, 3, FALSE), 0)</f>
        <v/>
      </c>
      <c r="C7" s="19">
        <f>IFERROR(VLOOKUP("1.1.2", BS!$A:$D, 4, FALSE), 0)</f>
        <v/>
      </c>
    </row>
    <row r="8">
      <c r="A8" s="18" t="inlineStr">
        <is>
          <t>Long-term Borrowings</t>
        </is>
      </c>
      <c r="B8" s="19">
        <f>IFERROR(VLOOKUP("1.2.1", BS!$A:$D, 3, FALSE), 0)</f>
        <v/>
      </c>
      <c r="C8" s="19">
        <f>IFERROR(VLOOKUP("1.2.1", BS!$A:$D, 4, FALSE), 0)</f>
        <v/>
      </c>
    </row>
    <row r="9">
      <c r="A9" s="18" t="inlineStr">
        <is>
          <t>Short-term Borrowings</t>
        </is>
      </c>
      <c r="B9" s="19">
        <f>IFERROR(VLOOKUP("1.3.1", BS!$A:$D, 3, FALSE), 0)</f>
        <v/>
      </c>
      <c r="C9" s="19">
        <f>IFERROR(VLOOKUP("1.3.1", BS!$A:$D, 4, FALSE), 0)</f>
        <v/>
      </c>
    </row>
    <row r="10">
      <c r="A10" s="18" t="inlineStr">
        <is>
          <t>Trade Payables</t>
        </is>
      </c>
      <c r="B10" s="19">
        <f>IFERROR(VLOOKUP("1.3.2", BS!$A:$D, 3, FALSE), 0)</f>
        <v/>
      </c>
      <c r="C10" s="19">
        <f>IFERROR(VLOOKUP("1.3.2", BS!$A:$D, 4, FALSE), 0)</f>
        <v/>
      </c>
    </row>
    <row r="11">
      <c r="A11" s="18" t="inlineStr">
        <is>
          <t>Other Current Liabilities</t>
        </is>
      </c>
      <c r="B11" s="19">
        <f>IFERROR(VLOOKUP("1.3.3", BS!$A:$D, 3, FALSE), 0)</f>
        <v/>
      </c>
      <c r="C11" s="19">
        <f>IFERROR(VLOOKUP("1.3.3", BS!$A:$D, 4, FALSE), 0)</f>
        <v/>
      </c>
    </row>
    <row r="12">
      <c r="A12" s="18" t="inlineStr">
        <is>
          <t>Short-term Provisions</t>
        </is>
      </c>
      <c r="B12" s="19">
        <f>IFERROR(VLOOKUP("1.3.4", BS!$A:$D, 3, FALSE), 0)</f>
        <v/>
      </c>
      <c r="C12" s="19">
        <f>IFERROR(VLOOKUP("1.3.4", BS!$A:$D, 4, FALSE), 0)</f>
        <v/>
      </c>
    </row>
    <row r="13">
      <c r="A13" s="18" t="inlineStr">
        <is>
          <t>Property, Plant and Equipment</t>
        </is>
      </c>
      <c r="B13" s="19">
        <f>IFERROR(VLOOKUP("2.1.1.1", BS!$A:$D, 3, FALSE), 0)</f>
        <v/>
      </c>
      <c r="C13" s="19">
        <f>IFERROR(VLOOKUP("2.1.1.1", BS!$A:$D, 4, FALSE), 0)</f>
        <v/>
      </c>
    </row>
    <row r="14">
      <c r="A14" s="18" t="inlineStr">
        <is>
          <t>Intangible Assets</t>
        </is>
      </c>
      <c r="B14" s="19">
        <f>IFERROR(VLOOKUP("2.1.1.2", BS!$A:$D, 3, FALSE), 0)</f>
        <v/>
      </c>
      <c r="C14" s="19">
        <f>IFERROR(VLOOKUP("2.1.1.2", BS!$A:$D, 4, FALSE), 0)</f>
        <v/>
      </c>
    </row>
    <row r="15">
      <c r="A15" s="18" t="inlineStr">
        <is>
          <t>Non-Current Investments</t>
        </is>
      </c>
      <c r="B15" s="19">
        <f>IFERROR(VLOOKUP("2.1.2", BS!$A:$D, 3, FALSE), 0)</f>
        <v/>
      </c>
      <c r="C15" s="19">
        <f>IFERROR(VLOOKUP("2.1.2", BS!$A:$D, 4, FALSE), 0)</f>
        <v/>
      </c>
    </row>
    <row r="16">
      <c r="A16" s="18" t="inlineStr">
        <is>
          <t>Trade Receivables</t>
        </is>
      </c>
      <c r="B16" s="19">
        <f>IFERROR(VLOOKUP("2.2.3", BS!$A:$D, 3, FALSE), 0)</f>
        <v/>
      </c>
      <c r="C16" s="19">
        <f>IFERROR(VLOOKUP("2.2.3", BS!$A:$D, 4, FALSE), 0)</f>
        <v/>
      </c>
    </row>
    <row r="17">
      <c r="A17" s="18" t="inlineStr">
        <is>
          <t>Cash and Cash Equivalents</t>
        </is>
      </c>
      <c r="B17" s="19">
        <f>IFERROR(VLOOKUP("2.2.4", BS!$A:$D, 3, FALSE), 0)</f>
        <v/>
      </c>
      <c r="C17" s="19">
        <f>IFERROR(VLOOKUP("2.2.4", BS!$A:$D, 4, FALSE), 0)</f>
        <v/>
      </c>
    </row>
    <row r="18">
      <c r="A18" s="18" t="inlineStr">
        <is>
          <t>Short-term Loans and Advances</t>
        </is>
      </c>
      <c r="B18" s="19">
        <f>IFERROR(VLOOKUP("2.2.5", BS!$A:$D, 3, FALSE), 0)</f>
        <v/>
      </c>
      <c r="C18" s="19">
        <f>IFERROR(VLOOKUP("2.2.5", BS!$A:$D, 4, FALSE), 0)</f>
        <v/>
      </c>
    </row>
    <row r="19">
      <c r="A19" s="18" t="inlineStr">
        <is>
          <t>Other Current Assets</t>
        </is>
      </c>
      <c r="B19" s="19">
        <f>IFERROR(VLOOKUP("2.2.6", BS!$A:$D, 3, FALSE), 0)</f>
        <v/>
      </c>
      <c r="C19" s="19">
        <f>IFERROR(VLOOKUP("2.2.6", BS!$A:$D, 4, FALSE), 0)</f>
        <v/>
      </c>
    </row>
    <row r="20">
      <c r="A20" s="18" t="inlineStr">
        <is>
          <t>Revenue from Operations</t>
        </is>
      </c>
      <c r="B20" s="19">
        <f>IFERROR(VLOOKUP("3.1", PL!$A:$D, 3, FALSE), 0)</f>
        <v/>
      </c>
      <c r="C20" s="19">
        <f>IFERROR(VLOOKUP("3.1", PL!$A:$D, 4, FALSE), 0)</f>
        <v/>
      </c>
    </row>
    <row r="21">
      <c r="A21" s="18" t="inlineStr">
        <is>
          <t>Other Income</t>
        </is>
      </c>
      <c r="B21" s="19">
        <f>IFERROR(VLOOKUP("3.2", PL!$A:$D, 3, FALSE), 0)</f>
        <v/>
      </c>
      <c r="C21" s="19">
        <f>IFERROR(VLOOKUP("3.2", PL!$A:$D, 4, FALSE), 0)</f>
        <v/>
      </c>
    </row>
    <row r="22">
      <c r="A22" s="18" t="inlineStr">
        <is>
          <t>Cost of Materials Consumed</t>
        </is>
      </c>
      <c r="B22" s="19">
        <f>IFERROR(VLOOKUP("4.1", PL!$A:$D, 3, FALSE), 0)</f>
        <v/>
      </c>
      <c r="C22" s="19">
        <f>IFERROR(VLOOKUP("4.1", PL!$A:$D, 4, FALSE), 0)</f>
        <v/>
      </c>
    </row>
    <row r="23">
      <c r="A23" s="18" t="inlineStr">
        <is>
          <t>Purchase of Stock-in-Trade</t>
        </is>
      </c>
      <c r="B23" s="19">
        <f>IFERROR(VLOOKUP("4.2", PL!$A:$D, 3, FALSE), 0)</f>
        <v/>
      </c>
      <c r="C23" s="19">
        <f>IFERROR(VLOOKUP("4.2", PL!$A:$D, 4, FALSE), 0)</f>
        <v/>
      </c>
    </row>
    <row r="24">
      <c r="A24" s="18" t="inlineStr">
        <is>
          <t>Employee Benefits Expense</t>
        </is>
      </c>
      <c r="B24" s="19">
        <f>IFERROR(VLOOKUP("4.3", PL!$A:$D, 3, FALSE), 0)</f>
        <v/>
      </c>
      <c r="C24" s="19">
        <f>IFERROR(VLOOKUP("4.3", PL!$A:$D, 4, FALSE), 0)</f>
        <v/>
      </c>
    </row>
    <row r="25">
      <c r="A25" s="18" t="inlineStr">
        <is>
          <t>Finance Costs</t>
        </is>
      </c>
      <c r="B25" s="19">
        <f>IFERROR(VLOOKUP("4.4", PL!$A:$D, 3, FALSE), 0)</f>
        <v/>
      </c>
      <c r="C25" s="19">
        <f>IFERROR(VLOOKUP("4.4", PL!$A:$D, 4, FALSE), 0)</f>
        <v/>
      </c>
    </row>
    <row r="26">
      <c r="A26" s="18" t="inlineStr">
        <is>
          <t>Depreciation and Amortization</t>
        </is>
      </c>
      <c r="B26" s="19">
        <f>IFERROR(VLOOKUP("4.5", PL!$A:$D, 3, FALSE), 0)</f>
        <v/>
      </c>
      <c r="C26" s="19">
        <f>IFERROR(VLOOKUP("4.5", PL!$A:$D, 4, FALSE), 0)</f>
        <v/>
      </c>
    </row>
    <row r="27">
      <c r="A27" s="18" t="inlineStr">
        <is>
          <t>Other Expenses</t>
        </is>
      </c>
      <c r="B27" s="19">
        <f>IFERROR(VLOOKUP("4.6", PL!$A:$D, 3, FALSE), 0)</f>
        <v/>
      </c>
      <c r="C27" s="19">
        <f>IFERROR(VLOOKUP("4.6", PL!$A:$D, 4, FALSE), 0)</f>
        <v/>
      </c>
    </row>
  </sheetData>
  <mergeCells count="3">
    <mergeCell ref="A4:C4"/>
    <mergeCell ref="A3:C3"/>
    <mergeCell ref="A2:C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8"/>
  <sheetViews>
    <sheetView showGridLines="1" workbookViewId="0">
      <selection activeCell="A1" sqref="A1"/>
    </sheetView>
  </sheetViews>
  <sheetFormatPr baseColWidth="8" defaultRowHeight="15"/>
  <cols>
    <col width="45" customWidth="1" min="1" max="1"/>
    <col width="18" customWidth="1" min="2" max="2"/>
    <col width="18" customWidth="1" min="3" max="3"/>
    <col width="15" customWidth="1" min="4" max="4"/>
  </cols>
  <sheetData>
    <row r="1">
      <c r="A1" s="12">
        <f>HYPERLINK("#Home!A1", "&lt;- Go to Dashboard")</f>
        <v/>
      </c>
    </row>
    <row r="3">
      <c r="A3" s="23" t="inlineStr">
        <is>
          <t>Diagnostic Validation Controls</t>
        </is>
      </c>
    </row>
    <row r="5">
      <c r="A5" s="24" t="inlineStr">
        <is>
          <t>Diagnostic Description</t>
        </is>
      </c>
      <c r="B5" s="24" t="inlineStr">
        <is>
          <t>Actual Value 1</t>
        </is>
      </c>
      <c r="C5" s="24" t="inlineStr">
        <is>
          <t>Actual Value 2</t>
        </is>
      </c>
      <c r="D5" s="24" t="inlineStr">
        <is>
          <t>Status</t>
        </is>
      </c>
    </row>
    <row r="6">
      <c r="A6" s="18" t="inlineStr">
        <is>
          <t>Trial Balance Debits = Credits</t>
        </is>
      </c>
      <c r="B6" s="19">
        <f>SUMIF('TB'!$K$6:$K$500, "&gt;0")</f>
        <v/>
      </c>
      <c r="C6" s="19">
        <f>-SUMIF('TB'!$K$6:$K$500, "&lt;0")</f>
        <v/>
      </c>
      <c r="D6" s="13">
        <f>IF(ROUND(B6-C6,2)=0, "PASS", "FAIL")</f>
        <v/>
      </c>
    </row>
    <row r="7">
      <c r="A7" s="18" t="inlineStr">
        <is>
          <t>Total Assets = Total Equity &amp; Liabilities</t>
        </is>
      </c>
      <c r="B7" s="19">
        <f>IFERROR(VLOOKUP("2", 'BS'!$A:$D, 3, FALSE), 0)</f>
        <v/>
      </c>
      <c r="C7" s="19">
        <f>IFERROR(VLOOKUP("1", 'BS'!$A:$D, 3, FALSE), 0)</f>
        <v/>
      </c>
      <c r="D7" s="13">
        <f>IF(ROUND(B7-C7,2)=0, "PASS", "FAIL")</f>
        <v/>
      </c>
    </row>
    <row r="8">
      <c r="A8" s="18" t="inlineStr">
        <is>
          <t>Cash Flow Reconciled (Opening + Change = Closing)</t>
        </is>
      </c>
      <c r="B8" s="19">
        <f>IFERROR(VLOOKUP("Closing Cash &amp; Cash Equivalents", 'CF'!$A:$B, 2, FALSE), 0)</f>
        <v/>
      </c>
      <c r="C8" s="19">
        <f>IFERROR(VLOOKUP("2.2.4", 'BS'!$A:$D, 3, FALSE), 0)</f>
        <v/>
      </c>
      <c r="D8" s="13">
        <f>IF(ROUND(B8-C8,2)=0, "PASS", "FAIL")</f>
        <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35"/>
  <sheetViews>
    <sheetView showGridLines="1" workbookViewId="0">
      <selection activeCell="A1" sqref="A1"/>
    </sheetView>
  </sheetViews>
  <sheetFormatPr baseColWidth="8" defaultRowHeight="15"/>
  <sheetData>
    <row r="1">
      <c r="A1" s="13" t="inlineStr">
        <is>
          <t>Node Code</t>
        </is>
      </c>
      <c r="B1" s="13" t="inlineStr">
        <is>
          <t>Node Name</t>
        </is>
      </c>
      <c r="C1" s="13" t="inlineStr">
        <is>
          <t>Type</t>
        </is>
      </c>
      <c r="D1" s="13" t="inlineStr">
        <is>
          <t>Statement</t>
        </is>
      </c>
    </row>
    <row r="2">
      <c r="A2" s="10" t="inlineStr">
        <is>
          <t>1</t>
        </is>
      </c>
      <c r="B2" s="10" t="inlineStr">
        <is>
          <t>EQUITY AND LIABILITIES</t>
        </is>
      </c>
      <c r="C2" s="10" t="inlineStr">
        <is>
          <t>EQUITY</t>
        </is>
      </c>
      <c r="D2" s="10" t="inlineStr">
        <is>
          <t>BALANCE_SHEET</t>
        </is>
      </c>
    </row>
    <row r="3">
      <c r="A3" s="10" t="inlineStr">
        <is>
          <t>1.1</t>
        </is>
      </c>
      <c r="B3" s="10" t="inlineStr">
        <is>
          <t>Shareholders' Funds</t>
        </is>
      </c>
      <c r="C3" s="10" t="inlineStr">
        <is>
          <t>EQUITY</t>
        </is>
      </c>
      <c r="D3" s="10" t="inlineStr">
        <is>
          <t>BALANCE_SHEET</t>
        </is>
      </c>
    </row>
    <row r="4">
      <c r="A4" s="10" t="inlineStr">
        <is>
          <t>1.1.1</t>
        </is>
      </c>
      <c r="B4" s="10" t="inlineStr">
        <is>
          <t>Share Capital</t>
        </is>
      </c>
      <c r="C4" s="10" t="inlineStr">
        <is>
          <t>EQUITY</t>
        </is>
      </c>
      <c r="D4" s="10" t="inlineStr">
        <is>
          <t>BALANCE_SHEET</t>
        </is>
      </c>
    </row>
    <row r="5">
      <c r="A5" s="10" t="inlineStr">
        <is>
          <t>1.1.2</t>
        </is>
      </c>
      <c r="B5" s="10" t="inlineStr">
        <is>
          <t>Reserves and Surplus</t>
        </is>
      </c>
      <c r="C5" s="10" t="inlineStr">
        <is>
          <t>EQUITY</t>
        </is>
      </c>
      <c r="D5" s="10" t="inlineStr">
        <is>
          <t>BALANCE_SHEET</t>
        </is>
      </c>
    </row>
    <row r="6">
      <c r="A6" s="10" t="inlineStr">
        <is>
          <t>1.2</t>
        </is>
      </c>
      <c r="B6" s="10" t="inlineStr">
        <is>
          <t>Non-Current Liabilities</t>
        </is>
      </c>
      <c r="C6" s="10" t="inlineStr">
        <is>
          <t>LIABILITY</t>
        </is>
      </c>
      <c r="D6" s="10" t="inlineStr">
        <is>
          <t>BALANCE_SHEET</t>
        </is>
      </c>
    </row>
    <row r="7">
      <c r="A7" s="10" t="inlineStr">
        <is>
          <t>1.2.1</t>
        </is>
      </c>
      <c r="B7" s="10" t="inlineStr">
        <is>
          <t>Long-term borrowings</t>
        </is>
      </c>
      <c r="C7" s="10" t="inlineStr">
        <is>
          <t>LIABILITY</t>
        </is>
      </c>
      <c r="D7" s="10" t="inlineStr">
        <is>
          <t>BALANCE_SHEET</t>
        </is>
      </c>
    </row>
    <row r="8">
      <c r="A8" s="10" t="inlineStr">
        <is>
          <t>1.3</t>
        </is>
      </c>
      <c r="B8" s="10" t="inlineStr">
        <is>
          <t>Current Liabilities</t>
        </is>
      </c>
      <c r="C8" s="10" t="inlineStr">
        <is>
          <t>LIABILITY</t>
        </is>
      </c>
      <c r="D8" s="10" t="inlineStr">
        <is>
          <t>BALANCE_SHEET</t>
        </is>
      </c>
    </row>
    <row r="9">
      <c r="A9" s="10" t="inlineStr">
        <is>
          <t>1.3.1</t>
        </is>
      </c>
      <c r="B9" s="10" t="inlineStr">
        <is>
          <t>Short-term borrowings</t>
        </is>
      </c>
      <c r="C9" s="10" t="inlineStr">
        <is>
          <t>LIABILITY</t>
        </is>
      </c>
      <c r="D9" s="10" t="inlineStr">
        <is>
          <t>BALANCE_SHEET</t>
        </is>
      </c>
    </row>
    <row r="10">
      <c r="A10" s="10" t="inlineStr">
        <is>
          <t>1.3.2</t>
        </is>
      </c>
      <c r="B10" s="10" t="inlineStr">
        <is>
          <t>Trade payables</t>
        </is>
      </c>
      <c r="C10" s="10" t="inlineStr">
        <is>
          <t>LIABILITY</t>
        </is>
      </c>
      <c r="D10" s="10" t="inlineStr">
        <is>
          <t>BALANCE_SHEET</t>
        </is>
      </c>
    </row>
    <row r="11">
      <c r="A11" s="10" t="inlineStr">
        <is>
          <t>1.3.3</t>
        </is>
      </c>
      <c r="B11" s="10" t="inlineStr">
        <is>
          <t>Other current liabilities</t>
        </is>
      </c>
      <c r="C11" s="10" t="inlineStr">
        <is>
          <t>LIABILITY</t>
        </is>
      </c>
      <c r="D11" s="10" t="inlineStr">
        <is>
          <t>BALANCE_SHEET</t>
        </is>
      </c>
    </row>
    <row r="12">
      <c r="A12" s="10" t="inlineStr">
        <is>
          <t>1.3.4</t>
        </is>
      </c>
      <c r="B12" s="10" t="inlineStr">
        <is>
          <t>Short-term provisions</t>
        </is>
      </c>
      <c r="C12" s="10" t="inlineStr">
        <is>
          <t>LIABILITY</t>
        </is>
      </c>
      <c r="D12" s="10" t="inlineStr">
        <is>
          <t>BALANCE_SHEET</t>
        </is>
      </c>
    </row>
    <row r="13">
      <c r="A13" s="10" t="inlineStr">
        <is>
          <t>2</t>
        </is>
      </c>
      <c r="B13" s="10" t="inlineStr">
        <is>
          <t>ASSETS</t>
        </is>
      </c>
      <c r="C13" s="10" t="inlineStr">
        <is>
          <t>ASSET</t>
        </is>
      </c>
      <c r="D13" s="10" t="inlineStr">
        <is>
          <t>BALANCE_SHEET</t>
        </is>
      </c>
    </row>
    <row r="14">
      <c r="A14" s="10" t="inlineStr">
        <is>
          <t>2.1</t>
        </is>
      </c>
      <c r="B14" s="10" t="inlineStr">
        <is>
          <t>Non-Current Assets</t>
        </is>
      </c>
      <c r="C14" s="10" t="inlineStr">
        <is>
          <t>ASSET</t>
        </is>
      </c>
      <c r="D14" s="10" t="inlineStr">
        <is>
          <t>BALANCE_SHEET</t>
        </is>
      </c>
    </row>
    <row r="15">
      <c r="A15" s="10" t="inlineStr">
        <is>
          <t>2.1.1</t>
        </is>
      </c>
      <c r="B15" s="10" t="inlineStr">
        <is>
          <t>Property, Plant and Equipment and Intangible Assets</t>
        </is>
      </c>
      <c r="C15" s="10" t="inlineStr">
        <is>
          <t>ASSET</t>
        </is>
      </c>
      <c r="D15" s="10" t="inlineStr">
        <is>
          <t>BALANCE_SHEET</t>
        </is>
      </c>
    </row>
    <row r="16">
      <c r="A16" s="10" t="inlineStr">
        <is>
          <t>2.1.1.1</t>
        </is>
      </c>
      <c r="B16" s="10" t="inlineStr">
        <is>
          <t>Property, Plant and Equipment</t>
        </is>
      </c>
      <c r="C16" s="10" t="inlineStr">
        <is>
          <t>ASSET</t>
        </is>
      </c>
      <c r="D16" s="10" t="inlineStr">
        <is>
          <t>BALANCE_SHEET</t>
        </is>
      </c>
    </row>
    <row r="17">
      <c r="A17" s="10" t="inlineStr">
        <is>
          <t>2.1.1.2</t>
        </is>
      </c>
      <c r="B17" s="10" t="inlineStr">
        <is>
          <t>Intangible assets</t>
        </is>
      </c>
      <c r="C17" s="10" t="inlineStr">
        <is>
          <t>ASSET</t>
        </is>
      </c>
      <c r="D17" s="10" t="inlineStr">
        <is>
          <t>BALANCE_SHEET</t>
        </is>
      </c>
    </row>
    <row r="18">
      <c r="A18" s="10" t="inlineStr">
        <is>
          <t>2.1.2</t>
        </is>
      </c>
      <c r="B18" s="10" t="inlineStr">
        <is>
          <t>Non-current investments</t>
        </is>
      </c>
      <c r="C18" s="10" t="inlineStr">
        <is>
          <t>ASSET</t>
        </is>
      </c>
      <c r="D18" s="10" t="inlineStr">
        <is>
          <t>BALANCE_SHEET</t>
        </is>
      </c>
    </row>
    <row r="19">
      <c r="A19" s="10" t="inlineStr">
        <is>
          <t>2.2</t>
        </is>
      </c>
      <c r="B19" s="10" t="inlineStr">
        <is>
          <t>Current Assets</t>
        </is>
      </c>
      <c r="C19" s="10" t="inlineStr">
        <is>
          <t>ASSET</t>
        </is>
      </c>
      <c r="D19" s="10" t="inlineStr">
        <is>
          <t>BALANCE_SHEET</t>
        </is>
      </c>
    </row>
    <row r="20">
      <c r="A20" s="10" t="inlineStr">
        <is>
          <t>2.2.1</t>
        </is>
      </c>
      <c r="B20" s="10" t="inlineStr">
        <is>
          <t>Current investments</t>
        </is>
      </c>
      <c r="C20" s="10" t="inlineStr">
        <is>
          <t>ASSET</t>
        </is>
      </c>
      <c r="D20" s="10" t="inlineStr">
        <is>
          <t>BALANCE_SHEET</t>
        </is>
      </c>
    </row>
    <row r="21">
      <c r="A21" s="10" t="inlineStr">
        <is>
          <t>2.2.2</t>
        </is>
      </c>
      <c r="B21" s="10" t="inlineStr">
        <is>
          <t>Inventories</t>
        </is>
      </c>
      <c r="C21" s="10" t="inlineStr">
        <is>
          <t>ASSET</t>
        </is>
      </c>
      <c r="D21" s="10" t="inlineStr">
        <is>
          <t>BALANCE_SHEET</t>
        </is>
      </c>
    </row>
    <row r="22">
      <c r="A22" s="10" t="inlineStr">
        <is>
          <t>2.2.3</t>
        </is>
      </c>
      <c r="B22" s="10" t="inlineStr">
        <is>
          <t>Trade receivables</t>
        </is>
      </c>
      <c r="C22" s="10" t="inlineStr">
        <is>
          <t>ASSET</t>
        </is>
      </c>
      <c r="D22" s="10" t="inlineStr">
        <is>
          <t>BALANCE_SHEET</t>
        </is>
      </c>
    </row>
    <row r="23">
      <c r="A23" s="10" t="inlineStr">
        <is>
          <t>2.2.4</t>
        </is>
      </c>
      <c r="B23" s="10" t="inlineStr">
        <is>
          <t>Cash and cash equivalents</t>
        </is>
      </c>
      <c r="C23" s="10" t="inlineStr">
        <is>
          <t>ASSET</t>
        </is>
      </c>
      <c r="D23" s="10" t="inlineStr">
        <is>
          <t>BALANCE_SHEET</t>
        </is>
      </c>
    </row>
    <row r="24">
      <c r="A24" s="10" t="inlineStr">
        <is>
          <t>2.2.5</t>
        </is>
      </c>
      <c r="B24" s="10" t="inlineStr">
        <is>
          <t>Short-term loans and advances</t>
        </is>
      </c>
      <c r="C24" s="10" t="inlineStr">
        <is>
          <t>ASSET</t>
        </is>
      </c>
      <c r="D24" s="10" t="inlineStr">
        <is>
          <t>BALANCE_SHEET</t>
        </is>
      </c>
    </row>
    <row r="25">
      <c r="A25" s="10" t="inlineStr">
        <is>
          <t>2.2.6</t>
        </is>
      </c>
      <c r="B25" s="10" t="inlineStr">
        <is>
          <t>Other current assets</t>
        </is>
      </c>
      <c r="C25" s="10" t="inlineStr">
        <is>
          <t>ASSET</t>
        </is>
      </c>
      <c r="D25" s="10" t="inlineStr">
        <is>
          <t>BALANCE_SHEET</t>
        </is>
      </c>
    </row>
    <row r="26">
      <c r="A26" s="10" t="inlineStr">
        <is>
          <t>3</t>
        </is>
      </c>
      <c r="B26" s="10" t="inlineStr">
        <is>
          <t>INCOME</t>
        </is>
      </c>
      <c r="C26" s="10" t="inlineStr">
        <is>
          <t>REVENUE</t>
        </is>
      </c>
      <c r="D26" s="10" t="inlineStr">
        <is>
          <t>PROFIT_LOSS</t>
        </is>
      </c>
    </row>
    <row r="27">
      <c r="A27" s="10" t="inlineStr">
        <is>
          <t>3.1</t>
        </is>
      </c>
      <c r="B27" s="10" t="inlineStr">
        <is>
          <t>Revenue from operations</t>
        </is>
      </c>
      <c r="C27" s="10" t="inlineStr">
        <is>
          <t>REVENUE</t>
        </is>
      </c>
      <c r="D27" s="10" t="inlineStr">
        <is>
          <t>PROFIT_LOSS</t>
        </is>
      </c>
    </row>
    <row r="28">
      <c r="A28" s="10" t="inlineStr">
        <is>
          <t>3.2</t>
        </is>
      </c>
      <c r="B28" s="10" t="inlineStr">
        <is>
          <t>Other income</t>
        </is>
      </c>
      <c r="C28" s="10" t="inlineStr">
        <is>
          <t>REVENUE</t>
        </is>
      </c>
      <c r="D28" s="10" t="inlineStr">
        <is>
          <t>PROFIT_LOSS</t>
        </is>
      </c>
    </row>
    <row r="29">
      <c r="A29" s="10" t="inlineStr">
        <is>
          <t>4</t>
        </is>
      </c>
      <c r="B29" s="10" t="inlineStr">
        <is>
          <t>EXPENSES</t>
        </is>
      </c>
      <c r="C29" s="10" t="inlineStr">
        <is>
          <t>EXPENSE</t>
        </is>
      </c>
      <c r="D29" s="10" t="inlineStr">
        <is>
          <t>PROFIT_LOSS</t>
        </is>
      </c>
    </row>
    <row r="30">
      <c r="A30" s="10" t="inlineStr">
        <is>
          <t>4.1</t>
        </is>
      </c>
      <c r="B30" s="10" t="inlineStr">
        <is>
          <t>Cost of materials consumed</t>
        </is>
      </c>
      <c r="C30" s="10" t="inlineStr">
        <is>
          <t>EXPENSE</t>
        </is>
      </c>
      <c r="D30" s="10" t="inlineStr">
        <is>
          <t>PROFIT_LOSS</t>
        </is>
      </c>
    </row>
    <row r="31">
      <c r="A31" s="10" t="inlineStr">
        <is>
          <t>4.2</t>
        </is>
      </c>
      <c r="B31" s="10" t="inlineStr">
        <is>
          <t>Purchase of Stock-in-Trade</t>
        </is>
      </c>
      <c r="C31" s="10" t="inlineStr">
        <is>
          <t>EXPENSE</t>
        </is>
      </c>
      <c r="D31" s="10" t="inlineStr">
        <is>
          <t>PROFIT_LOSS</t>
        </is>
      </c>
    </row>
    <row r="32">
      <c r="A32" s="10" t="inlineStr">
        <is>
          <t>4.3</t>
        </is>
      </c>
      <c r="B32" s="10" t="inlineStr">
        <is>
          <t>Employee benefits expense</t>
        </is>
      </c>
      <c r="C32" s="10" t="inlineStr">
        <is>
          <t>EXPENSE</t>
        </is>
      </c>
      <c r="D32" s="10" t="inlineStr">
        <is>
          <t>PROFIT_LOSS</t>
        </is>
      </c>
    </row>
    <row r="33">
      <c r="A33" s="10" t="inlineStr">
        <is>
          <t>4.4</t>
        </is>
      </c>
      <c r="B33" s="10" t="inlineStr">
        <is>
          <t>Finance costs</t>
        </is>
      </c>
      <c r="C33" s="10" t="inlineStr">
        <is>
          <t>EXPENSE</t>
        </is>
      </c>
      <c r="D33" s="10" t="inlineStr">
        <is>
          <t>PROFIT_LOSS</t>
        </is>
      </c>
    </row>
    <row r="34">
      <c r="A34" s="10" t="inlineStr">
        <is>
          <t>4.5</t>
        </is>
      </c>
      <c r="B34" s="10" t="inlineStr">
        <is>
          <t>Depreciation and amortization expense</t>
        </is>
      </c>
      <c r="C34" s="10" t="inlineStr">
        <is>
          <t>EXPENSE</t>
        </is>
      </c>
      <c r="D34" s="10" t="inlineStr">
        <is>
          <t>PROFIT_LOSS</t>
        </is>
      </c>
    </row>
    <row r="35">
      <c r="A35" s="10" t="inlineStr">
        <is>
          <t>4.6</t>
        </is>
      </c>
      <c r="B35" s="10" t="inlineStr">
        <is>
          <t>Other expenses</t>
        </is>
      </c>
      <c r="C35" s="10" t="inlineStr">
        <is>
          <t>EXPENSE</t>
        </is>
      </c>
      <c r="D35" s="10" t="inlineStr">
        <is>
          <t>PROFIT_LOSS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2026-06-26T12:48:41Z</dcterms:created>
  <dcterms:modified xmlns:dcterms="http://purl.org/dc/terms/" xmlns:xsi="http://www.w3.org/2001/XMLSchema-instance" xsi:type="dcterms:W3CDTF">2026-06-26T12:48:41Z</dcterms:modified>
</cp:coreProperties>
</file>